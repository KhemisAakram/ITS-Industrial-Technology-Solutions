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Fixed Project Quote" sheetId="2" state="visible" r:id="rId2"/>
    <sheet name="SLA Retainer Builder" sheetId="3" state="visible" r:id="rId3"/>
    <sheet name="Rate Card" sheetId="4" state="visible" r:id="rId4"/>
    <sheet name="Labor Yield Tracker" sheetId="5" state="visible" r:id="rId5"/>
    <sheet name="Breakeven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&quot;\ DA&quot;"/>
    <numFmt numFmtId="165" formatCode="0.0%"/>
    <numFmt numFmtId="166" formatCode="DD/MM/YYYY"/>
    <numFmt numFmtId="167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FF9F00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A1A1A"/>
      <sz val="11"/>
    </font>
    <font>
      <name val="Calibri"/>
      <sz val="11"/>
    </font>
    <font>
      <name val="Calibri"/>
      <color rgb="00666666"/>
      <sz val="10"/>
    </font>
    <font>
      <name val="Calibri"/>
      <b val="1"/>
      <color rgb="001A1A1A"/>
      <sz val="12"/>
    </font>
    <font>
      <name val="Calibri"/>
      <color rgb="001A1A1A"/>
      <sz val="11"/>
    </font>
    <font>
      <name val="Calibri"/>
      <b val="1"/>
      <color rgb="001A1A1A"/>
      <sz val="13"/>
    </font>
    <font>
      <name val="Calibri"/>
      <i val="1"/>
      <color rgb="00FF9F00"/>
      <sz val="10"/>
    </font>
  </fonts>
  <fills count="4">
    <fill>
      <patternFill/>
    </fill>
    <fill>
      <patternFill patternType="gray125"/>
    </fill>
    <fill>
      <patternFill patternType="solid">
        <fgColor rgb="00FF9F00"/>
        <bgColor rgb="00FF9F00"/>
      </patternFill>
    </fill>
    <fill>
      <patternFill patternType="solid">
        <fgColor rgb="00FFF3E0"/>
        <bgColor rgb="00FFF3E0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1" pivotButton="0" quotePrefix="0" xfId="0"/>
    <xf numFmtId="165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0" pivotButton="0" quotePrefix="0" xfId="0"/>
    <xf numFmtId="0" fontId="6" fillId="0" borderId="1" pivotButton="0" quotePrefix="0" xfId="0"/>
    <xf numFmtId="164" fontId="9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7" fontId="0" fillId="0" borderId="1" pivotButton="0" quotePrefix="0" xfId="0"/>
    <xf numFmtId="164" fontId="0" fillId="0" borderId="1" pivotButton="0" quotePrefix="0" xfId="0"/>
    <xf numFmtId="164" fontId="4" fillId="0" borderId="1" pivotButton="0" quotePrefix="0" xfId="0"/>
    <xf numFmtId="0" fontId="8" fillId="0" borderId="1" pivotButton="0" quotePrefix="0" xfId="0"/>
    <xf numFmtId="167" fontId="8" fillId="0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EBEE"/>
          <bgColor rgb="00FFEBEE"/>
        </patternFill>
      </fill>
    </dxf>
    <dxf>
      <fill>
        <patternFill patternType="solid">
          <fgColor rgb="00E8F5E9"/>
          <b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9F00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50" customWidth="1" min="4" max="4"/>
  </cols>
  <sheetData>
    <row r="1">
      <c r="A1" s="1" t="inlineStr">
        <is>
          <t>ITS — PRICING SETTINGS PANEL</t>
        </is>
      </c>
    </row>
    <row r="2">
      <c r="A2" s="2" t="inlineStr">
        <is>
          <t>Edit any value here — all other sheets update automatically.</t>
        </is>
      </c>
    </row>
    <row r="4">
      <c r="A4" s="3" t="inlineStr">
        <is>
          <t>Parameter</t>
        </is>
      </c>
      <c r="B4" s="3" t="inlineStr">
        <is>
          <t>Current Value</t>
        </is>
      </c>
      <c r="C4" s="3" t="inlineStr">
        <is>
          <t>Unit</t>
        </is>
      </c>
      <c r="D4" s="3" t="inlineStr">
        <is>
          <t>Notes</t>
        </is>
      </c>
    </row>
    <row r="5">
      <c r="A5" s="4" t="inlineStr">
        <is>
          <t>Standard Hourly Rate</t>
        </is>
      </c>
      <c r="B5" s="5" t="n">
        <v>1000</v>
      </c>
      <c r="C5" s="6" t="inlineStr">
        <is>
          <t>DA/hr</t>
        </is>
      </c>
      <c r="D5" s="7" t="inlineStr">
        <is>
          <t>Billing rate for standard ad-hoc work</t>
        </is>
      </c>
    </row>
    <row r="6">
      <c r="A6" s="4" t="inlineStr">
        <is>
          <t>Emergency Hourly Rate</t>
        </is>
      </c>
      <c r="B6" s="5" t="n">
        <v>1500</v>
      </c>
      <c r="C6" s="6" t="inlineStr">
        <is>
          <t>DA/hr</t>
        </is>
      </c>
      <c r="D6" s="7" t="inlineStr">
        <is>
          <t>1.5x multiplier for emergency call-outs</t>
        </is>
      </c>
    </row>
    <row r="7">
      <c r="A7" s="4" t="inlineStr">
        <is>
          <t>Dispatch Fee</t>
        </is>
      </c>
      <c r="B7" s="5" t="n">
        <v>2000</v>
      </c>
      <c r="C7" s="6" t="inlineStr">
        <is>
          <t>DA</t>
        </is>
      </c>
      <c r="D7" s="7" t="inlineStr">
        <is>
          <t>Flat show-up fee for emergency</t>
        </is>
      </c>
    </row>
    <row r="8">
      <c r="A8" s="4" t="inlineStr">
        <is>
          <t>Minimum Call-Out Fee</t>
        </is>
      </c>
      <c r="B8" s="5" t="n">
        <v>2500</v>
      </c>
      <c r="C8" s="6" t="inlineStr">
        <is>
          <t>DA</t>
        </is>
      </c>
      <c r="D8" s="7" t="inlineStr">
        <is>
          <t>Minimum charge for non-emergency</t>
        </is>
      </c>
    </row>
    <row r="9">
      <c r="A9" s="4" t="inlineStr">
        <is>
          <t>Travel Rate (per km)</t>
        </is>
      </c>
      <c r="B9" s="5" t="n">
        <v>150</v>
      </c>
      <c r="C9" s="6" t="inlineStr">
        <is>
          <t>DA/km</t>
        </is>
      </c>
      <c r="D9" s="7" t="inlineStr">
        <is>
          <t>Outside Skikda zone</t>
        </is>
      </c>
    </row>
    <row r="10">
      <c r="A10" s="4" t="inlineStr">
        <is>
          <t>Default Materials Markup %</t>
        </is>
      </c>
      <c r="B10" s="8" t="n">
        <v>0.15</v>
      </c>
      <c r="C10" s="6" t="inlineStr">
        <is>
          <t>%</t>
        </is>
      </c>
      <c r="D10" s="7" t="inlineStr">
        <is>
          <t>Enter as decimal (0.15 = 15%)</t>
        </is>
      </c>
    </row>
    <row r="11">
      <c r="A11" s="4" t="inlineStr">
        <is>
          <t>Default Risk Buffer %</t>
        </is>
      </c>
      <c r="B11" s="8" t="n">
        <v>0.075</v>
      </c>
      <c r="C11" s="6" t="inlineStr">
        <is>
          <t>%</t>
        </is>
      </c>
      <c r="D11" s="7" t="inlineStr">
        <is>
          <t>Enter as decimal (0.075 = 7.5%)</t>
        </is>
      </c>
    </row>
    <row r="12">
      <c r="A12" s="4" t="inlineStr">
        <is>
          <t>Default Target Margin %</t>
        </is>
      </c>
      <c r="B12" s="8" t="n">
        <v>0.25</v>
      </c>
      <c r="C12" s="6" t="inlineStr">
        <is>
          <t>%</t>
        </is>
      </c>
      <c r="D12" s="7" t="inlineStr">
        <is>
          <t>Enter as decimal (0.25 = 25%)</t>
        </is>
      </c>
    </row>
    <row r="13">
      <c r="A13" s="4" t="inlineStr">
        <is>
          <t>SLA 12-Month Discount %</t>
        </is>
      </c>
      <c r="B13" s="8" t="n">
        <v>0.1</v>
      </c>
      <c r="C13" s="6" t="inlineStr">
        <is>
          <t>%</t>
        </is>
      </c>
      <c r="D13" s="7" t="inlineStr">
        <is>
          <t>Enter as decimal (0.10 = 10%)</t>
        </is>
      </c>
    </row>
    <row r="14">
      <c r="A14" s="4" t="inlineStr">
        <is>
          <t>SLA Basic Monthly Rate</t>
        </is>
      </c>
      <c r="B14" s="5" t="n">
        <v>6000</v>
      </c>
      <c r="C14" s="6" t="inlineStr">
        <is>
          <t>DA/mo</t>
        </is>
      </c>
      <c r="D14" s="7" t="inlineStr">
        <is>
          <t>Tier 1 — remote monitoring + email</t>
        </is>
      </c>
    </row>
    <row r="15">
      <c r="A15" s="4" t="inlineStr">
        <is>
          <t>SLA Standard Monthly Rate</t>
        </is>
      </c>
      <c r="B15" s="5" t="n">
        <v>10000</v>
      </c>
      <c r="C15" s="6" t="inlineStr">
        <is>
          <t>DA/mo</t>
        </is>
      </c>
      <c r="D15" s="7" t="inlineStr">
        <is>
          <t>Tier 2 — Basic + monthly on-site</t>
        </is>
      </c>
    </row>
    <row r="16">
      <c r="A16" s="4" t="inlineStr">
        <is>
          <t>SLA Comprehensive Rate</t>
        </is>
      </c>
      <c r="B16" s="5" t="n">
        <v>16000</v>
      </c>
      <c r="C16" s="6" t="inlineStr">
        <is>
          <t>DA/mo</t>
        </is>
      </c>
      <c r="D16" s="7" t="inlineStr">
        <is>
          <t>Tier 3 — priority + reduced emergency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9F00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FIXED PROJECT QUOTE CALCULATOR</t>
        </is>
      </c>
    </row>
    <row r="2">
      <c r="A2" s="2" t="inlineStr">
        <is>
          <t>All formulas reference the Settings panel. Override any % below per quote.</t>
        </is>
      </c>
    </row>
    <row r="4">
      <c r="A4" s="3" t="inlineStr">
        <is>
          <t>Item</t>
        </is>
      </c>
      <c r="B4" s="3" t="inlineStr">
        <is>
          <t>Value</t>
        </is>
      </c>
      <c r="C4" s="3" t="inlineStr">
        <is>
          <t>Unit</t>
        </is>
      </c>
      <c r="D4" s="3" t="inlineStr"/>
      <c r="E4" s="3" t="inlineStr"/>
      <c r="F4" s="3" t="inlineStr"/>
    </row>
    <row r="5">
      <c r="A5" s="4" t="inlineStr">
        <is>
          <t>Project Name</t>
        </is>
      </c>
      <c r="B5" s="9" t="inlineStr">
        <is>
          <t>e.g. CNC Build - Client X</t>
        </is>
      </c>
      <c r="C5" s="10" t="inlineStr"/>
    </row>
    <row r="6">
      <c r="A6" s="4" t="inlineStr">
        <is>
          <t>Estimated Labor Hours</t>
        </is>
      </c>
      <c r="B6" s="9" t="n">
        <v>40</v>
      </c>
      <c r="C6" s="10" t="inlineStr">
        <is>
          <t>hours</t>
        </is>
      </c>
    </row>
    <row r="7">
      <c r="A7" s="4" t="inlineStr">
        <is>
          <t>Standard Hourly Rate</t>
        </is>
      </c>
      <c r="B7" s="9">
        <f>Settings!B5</f>
        <v/>
      </c>
      <c r="C7" s="10" t="inlineStr">
        <is>
          <t>DA</t>
        </is>
      </c>
    </row>
    <row r="8">
      <c r="A8" s="4" t="inlineStr">
        <is>
          <t>Materials Cost (raw)</t>
        </is>
      </c>
      <c r="B8" s="9" t="n">
        <v>0</v>
      </c>
      <c r="C8" s="10" t="inlineStr">
        <is>
          <t>DA</t>
        </is>
      </c>
    </row>
    <row r="9">
      <c r="A9" s="4" t="inlineStr">
        <is>
          <t>Materials Markup %</t>
        </is>
      </c>
      <c r="B9" s="8">
        <f>Settings!B10</f>
        <v/>
      </c>
      <c r="C9" s="10" t="inlineStr"/>
    </row>
    <row r="10">
      <c r="A10" s="4" t="inlineStr">
        <is>
          <t>Risk Buffer %</t>
        </is>
      </c>
      <c r="B10" s="8">
        <f>Settings!B11</f>
        <v/>
      </c>
      <c r="C10" s="10" t="inlineStr"/>
    </row>
    <row r="11">
      <c r="A11" s="4" t="inlineStr">
        <is>
          <t>Target Margin %</t>
        </is>
      </c>
      <c r="B11" s="8">
        <f>Settings!B12</f>
        <v/>
      </c>
      <c r="C11" s="10" t="inlineStr"/>
    </row>
    <row r="13">
      <c r="A13" s="11" t="inlineStr">
        <is>
          <t>CALCULATED BREAKDOWN</t>
        </is>
      </c>
    </row>
    <row r="14">
      <c r="A14" s="12" t="inlineStr">
        <is>
          <t>Labor Cost</t>
        </is>
      </c>
      <c r="B14" s="13">
        <f>B6*B7</f>
        <v/>
      </c>
    </row>
    <row r="15">
      <c r="A15" s="12" t="inlineStr">
        <is>
          <t>Materials + Markup</t>
        </is>
      </c>
      <c r="B15" s="13">
        <f>B8*(1+B9)</f>
        <v/>
      </c>
    </row>
    <row r="16">
      <c r="A16" s="12" t="inlineStr">
        <is>
          <t>Subtotal</t>
        </is>
      </c>
      <c r="B16" s="13">
        <f>B14+B15</f>
        <v/>
      </c>
    </row>
    <row r="17">
      <c r="A17" s="12" t="inlineStr">
        <is>
          <t>Risk Buffer Amount</t>
        </is>
      </c>
      <c r="B17" s="13">
        <f>B16*B10</f>
        <v/>
      </c>
    </row>
    <row r="18">
      <c r="A18" s="12" t="inlineStr">
        <is>
          <t>Total Cost</t>
        </is>
      </c>
      <c r="B18" s="13">
        <f>B16+B17</f>
        <v/>
      </c>
    </row>
    <row r="19">
      <c r="A19" s="12" t="inlineStr">
        <is>
          <t>Profit Margin</t>
        </is>
      </c>
      <c r="B19" s="13">
        <f>B18*B11</f>
        <v/>
      </c>
    </row>
    <row r="20">
      <c r="A20" s="4" t="inlineStr">
        <is>
          <t>FINAL QUOTED PRICE</t>
        </is>
      </c>
      <c r="B20" s="14">
        <f>B18+B19</f>
        <v/>
      </c>
      <c r="C20" s="15" t="inlineStr">
        <is>
          <t>DA</t>
        </is>
      </c>
    </row>
    <row r="22">
      <c r="A22" s="11" t="inlineStr">
        <is>
          <t>STATEMENT OF WORK — QUOTE SUMMARY</t>
        </is>
      </c>
    </row>
    <row r="23">
      <c r="A23" s="4" t="inlineStr">
        <is>
          <t>Client Name</t>
        </is>
      </c>
      <c r="B23" s="12" t="inlineStr"/>
      <c r="C23" s="16" t="n"/>
      <c r="D23" s="16" t="n"/>
      <c r="E23" s="17" t="n"/>
    </row>
    <row r="24">
      <c r="A24" s="4" t="inlineStr">
        <is>
          <t>Project Scope</t>
        </is>
      </c>
      <c r="B24" s="12" t="inlineStr"/>
      <c r="C24" s="16" t="n"/>
      <c r="D24" s="16" t="n"/>
      <c r="E24" s="17" t="n"/>
    </row>
    <row r="25">
      <c r="A25" s="4" t="inlineStr">
        <is>
          <t>Payment Terms</t>
        </is>
      </c>
      <c r="B25" s="12" t="inlineStr">
        <is>
          <t>Full upon completion</t>
        </is>
      </c>
      <c r="C25" s="16" t="n"/>
      <c r="D25" s="16" t="n"/>
      <c r="E25" s="17" t="n"/>
    </row>
    <row r="26">
      <c r="A26" s="4" t="inlineStr">
        <is>
          <t>Validity Period</t>
        </is>
      </c>
      <c r="B26" s="12" t="inlineStr">
        <is>
          <t>15 days</t>
        </is>
      </c>
      <c r="C26" s="16" t="n"/>
      <c r="D26" s="16" t="n"/>
      <c r="E26" s="17" t="n"/>
    </row>
  </sheetData>
  <mergeCells count="8">
    <mergeCell ref="A2:F2"/>
    <mergeCell ref="B23:E23"/>
    <mergeCell ref="B26:E26"/>
    <mergeCell ref="A13:F13"/>
    <mergeCell ref="A1:F1"/>
    <mergeCell ref="A22:F22"/>
    <mergeCell ref="B25:E25"/>
    <mergeCell ref="B24:E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9F00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6" customWidth="1" min="5" max="5"/>
    <col width="55" customWidth="1" min="6" max="6"/>
    <col width="14" customWidth="1" min="7" max="7"/>
  </cols>
  <sheetData>
    <row r="1">
      <c r="A1" s="1" t="inlineStr">
        <is>
          <t>SLA RETAINER BUILDER</t>
        </is>
      </c>
    </row>
    <row r="2">
      <c r="A2" s="2" t="inlineStr">
        <is>
          <t>Rates pulled from Settings. 12-month discount applied automatically.</t>
        </is>
      </c>
    </row>
    <row r="4">
      <c r="A4" s="3" t="inlineStr">
        <is>
          <t>Tier</t>
        </is>
      </c>
      <c r="B4" s="3" t="inlineStr">
        <is>
          <t>Monthly Rate (DA)</t>
        </is>
      </c>
      <c r="C4" s="3" t="inlineStr">
        <is>
          <t>Annual Rate (DA)</t>
        </is>
      </c>
      <c r="D4" s="3" t="inlineStr">
        <is>
          <t>12-Month Discounted</t>
        </is>
      </c>
      <c r="E4" s="3" t="inlineStr">
        <is>
          <t>You Save</t>
        </is>
      </c>
      <c r="F4" s="3" t="inlineStr">
        <is>
          <t>Scope Summary</t>
        </is>
      </c>
      <c r="G4" s="3" t="inlineStr">
        <is>
          <t>Min Term</t>
        </is>
      </c>
    </row>
    <row r="5">
      <c r="A5" s="18" t="inlineStr">
        <is>
          <t>Basic</t>
        </is>
      </c>
      <c r="B5" s="13">
        <f>Settings!B14</f>
        <v/>
      </c>
      <c r="C5" s="13">
        <f>B5*12</f>
        <v/>
      </c>
      <c r="D5" s="13">
        <f>B5*12*(1-Settings!$B$13)</f>
        <v/>
      </c>
      <c r="E5" s="13">
        <f>C5-D5</f>
        <v/>
      </c>
      <c r="F5" s="19" t="inlineStr">
        <is>
          <t>Remote monitoring, data logging, priority email support</t>
        </is>
      </c>
      <c r="G5" s="20" t="inlineStr">
        <is>
          <t>6 months</t>
        </is>
      </c>
    </row>
    <row r="6">
      <c r="A6" s="18" t="inlineStr">
        <is>
          <t>Standard</t>
        </is>
      </c>
      <c r="B6" s="13">
        <f>Settings!B15</f>
        <v/>
      </c>
      <c r="C6" s="13">
        <f>B6*12</f>
        <v/>
      </c>
      <c r="D6" s="13">
        <f>B6*12*(1-Settings!$B$13)</f>
        <v/>
      </c>
      <c r="E6" s="13">
        <f>C6-D6</f>
        <v/>
      </c>
      <c r="F6" s="19" t="inlineStr">
        <is>
          <t>Basic + 1 monthly on-site visit (cleaning, calibration)</t>
        </is>
      </c>
      <c r="G6" s="20" t="inlineStr">
        <is>
          <t>6 months</t>
        </is>
      </c>
    </row>
    <row r="7">
      <c r="A7" s="18" t="inlineStr">
        <is>
          <t>Comprehensive</t>
        </is>
      </c>
      <c r="B7" s="13">
        <f>Settings!B16</f>
        <v/>
      </c>
      <c r="C7" s="13">
        <f>B7*12</f>
        <v/>
      </c>
      <c r="D7" s="13">
        <f>B7*12*(1-Settings!$B$13)</f>
        <v/>
      </c>
      <c r="E7" s="13">
        <f>C7-D7</f>
        <v/>
      </c>
      <c r="F7" s="19" t="inlineStr">
        <is>
          <t>Standard + reduced emergency labor + priority scheduling</t>
        </is>
      </c>
      <c r="G7" s="20" t="inlineStr">
        <is>
          <t>12 months</t>
        </is>
      </c>
    </row>
    <row r="9">
      <c r="A9" s="10" t="inlineStr"/>
    </row>
    <row r="10">
      <c r="A10" s="4" t="inlineStr">
        <is>
          <t>Discount Applied:</t>
        </is>
      </c>
      <c r="B10" s="21">
        <f>Settings!B13</f>
        <v/>
      </c>
    </row>
  </sheetData>
  <mergeCells count="3">
    <mergeCell ref="A2:G2"/>
    <mergeCell ref="A1:G1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9F0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60" customWidth="1" min="3" max="3"/>
  </cols>
  <sheetData>
    <row r="1">
      <c r="A1" s="1" t="inlineStr">
        <is>
          <t>ITS — STANDARD RATE CARD</t>
        </is>
      </c>
    </row>
    <row r="3">
      <c r="A3" s="3" t="inlineStr">
        <is>
          <t>Service</t>
        </is>
      </c>
      <c r="B3" s="3" t="inlineStr">
        <is>
          <t>Rate</t>
        </is>
      </c>
      <c r="C3" s="3" t="inlineStr">
        <is>
          <t>Notes</t>
        </is>
      </c>
    </row>
    <row r="4">
      <c r="A4" s="12" t="inlineStr">
        <is>
          <t>Standard Hourly (Ad-hoc, Non-Project)</t>
        </is>
      </c>
      <c r="B4" s="13">
        <f>Settings!B5</f>
        <v/>
      </c>
      <c r="C4" s="7" t="inlineStr">
        <is>
          <t>General troubleshooting, diagnostics</t>
        </is>
      </c>
    </row>
    <row r="5">
      <c r="A5" s="12" t="inlineStr">
        <is>
          <t>Emergency Hourly (Weekday)</t>
        </is>
      </c>
      <c r="B5" s="13">
        <f>Settings!B6</f>
        <v/>
      </c>
      <c r="C5" s="7" t="inlineStr">
        <is>
          <t>1.5x multiplier for urgent breakdowns</t>
        </is>
      </c>
    </row>
    <row r="6">
      <c r="A6" s="12" t="inlineStr">
        <is>
          <t>Emergency Hourly (After-Hours/Weekend)</t>
        </is>
      </c>
      <c r="B6" s="13">
        <f>Settings!B6</f>
        <v/>
      </c>
      <c r="C6" s="7" t="inlineStr">
        <is>
          <t>Same 1.5x multiplier</t>
        </is>
      </c>
    </row>
    <row r="7">
      <c r="A7" s="12" t="inlineStr">
        <is>
          <t>Dispatch Fee (Emergency)</t>
        </is>
      </c>
      <c r="B7" s="13">
        <f>Settings!B7</f>
        <v/>
      </c>
      <c r="C7" s="7" t="inlineStr">
        <is>
          <t>Flat fee covers mobilization, charged regardless of repair duration</t>
        </is>
      </c>
    </row>
    <row r="8">
      <c r="A8" s="12" t="inlineStr">
        <is>
          <t>Minimum Call-Out (Non-Emergency)</t>
        </is>
      </c>
      <c r="B8" s="13">
        <f>Settings!B8</f>
        <v/>
      </c>
      <c r="C8" s="7" t="inlineStr">
        <is>
          <t>Minimum charge for any service visit</t>
        </is>
      </c>
    </row>
    <row r="9">
      <c r="A9" s="12" t="inlineStr">
        <is>
          <t>Travel Outside Skikda Zone</t>
        </is>
      </c>
      <c r="B9" s="13">
        <f>Settings!B9</f>
        <v/>
      </c>
      <c r="C9" s="7" t="inlineStr">
        <is>
          <t>Per kilometer, round trip</t>
        </is>
      </c>
    </row>
    <row r="10">
      <c r="A10" s="12" t="inlineStr">
        <is>
          <t>Fixed Project Margin Range</t>
        </is>
      </c>
      <c r="B10" s="18" t="inlineStr">
        <is>
          <t>20% - 30%</t>
        </is>
      </c>
      <c r="C10" s="7" t="inlineStr">
        <is>
          <t>Target net margin on machine builds &amp; upgrades</t>
        </is>
      </c>
    </row>
    <row r="11">
      <c r="A11" s="12" t="inlineStr">
        <is>
          <t>SLA Basic Retainer</t>
        </is>
      </c>
      <c r="B11" s="13">
        <f>Settings!B14</f>
        <v/>
      </c>
      <c r="C11" s="7" t="inlineStr">
        <is>
          <t>Monthly — remote monitoring + email support</t>
        </is>
      </c>
    </row>
    <row r="12">
      <c r="A12" s="12" t="inlineStr">
        <is>
          <t>SLA Standard Retainer</t>
        </is>
      </c>
      <c r="B12" s="13">
        <f>Settings!B15</f>
        <v/>
      </c>
      <c r="C12" s="7" t="inlineStr">
        <is>
          <t>Monthly — Basic + 1 on-site visit</t>
        </is>
      </c>
    </row>
    <row r="13">
      <c r="A13" s="12" t="inlineStr">
        <is>
          <t>SLA Comprehensive Retainer</t>
        </is>
      </c>
      <c r="B13" s="13">
        <f>Settings!B16</f>
        <v/>
      </c>
      <c r="C13" s="7" t="inlineStr">
        <is>
          <t>Monthly — priority + reduced emergency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9F00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8" customWidth="1" min="5" max="5"/>
    <col width="18" customWidth="1" min="6" max="6"/>
    <col width="16" customWidth="1" min="7" max="7"/>
  </cols>
  <sheetData>
    <row r="1">
      <c r="A1" s="1" t="inlineStr">
        <is>
          <t>LABOR YIELD TRACKER</t>
        </is>
      </c>
    </row>
    <row r="2">
      <c r="A2" s="2" t="inlineStr">
        <is>
          <t>Target yield: &gt; 1,000 DA/hr. Rows turn red when below target.</t>
        </is>
      </c>
    </row>
    <row r="4">
      <c r="A4" s="3" t="inlineStr">
        <is>
          <t>Date</t>
        </is>
      </c>
      <c r="B4" s="3" t="inlineStr">
        <is>
          <t>Project / Client</t>
        </is>
      </c>
      <c r="C4" s="3" t="inlineStr">
        <is>
          <t>Est. Hours</t>
        </is>
      </c>
      <c r="D4" s="3" t="inlineStr">
        <is>
          <t>Actual Hours</t>
        </is>
      </c>
      <c r="E4" s="3" t="inlineStr">
        <is>
          <t>Revenue (DA)</t>
        </is>
      </c>
      <c r="F4" s="3" t="inlineStr">
        <is>
          <t>Yield (DA/hr)</t>
        </is>
      </c>
      <c r="G4" s="3" t="inlineStr">
        <is>
          <t>Status</t>
        </is>
      </c>
    </row>
    <row r="5">
      <c r="A5" s="22" t="n"/>
      <c r="B5" s="20" t="n"/>
      <c r="C5" s="23" t="n"/>
      <c r="D5" s="23" t="n"/>
      <c r="E5" s="24" t="n"/>
      <c r="F5" s="24">
        <f>IF(E5*D5&gt;0, E5/D5, "")</f>
        <v/>
      </c>
      <c r="G5" s="18">
        <f>IF(F5="","",IF(F5&gt;=1000,"✓ On Target","⚠ Below Target"))</f>
        <v/>
      </c>
    </row>
    <row r="6">
      <c r="A6" s="22" t="n"/>
      <c r="B6" s="20" t="n"/>
      <c r="C6" s="23" t="n"/>
      <c r="D6" s="23" t="n"/>
      <c r="E6" s="24" t="n"/>
      <c r="F6" s="24">
        <f>IF(E6*D6&gt;0, E6/D6, "")</f>
        <v/>
      </c>
      <c r="G6" s="18">
        <f>IF(F6="","",IF(F6&gt;=1000,"✓ On Target","⚠ Below Target"))</f>
        <v/>
      </c>
    </row>
    <row r="7">
      <c r="A7" s="22" t="n"/>
      <c r="B7" s="20" t="n"/>
      <c r="C7" s="23" t="n"/>
      <c r="D7" s="23" t="n"/>
      <c r="E7" s="24" t="n"/>
      <c r="F7" s="24">
        <f>IF(E7*D7&gt;0, E7/D7, "")</f>
        <v/>
      </c>
      <c r="G7" s="18">
        <f>IF(F7="","",IF(F7&gt;=1000,"✓ On Target","⚠ Below Target"))</f>
        <v/>
      </c>
    </row>
    <row r="8">
      <c r="A8" s="22" t="n"/>
      <c r="B8" s="20" t="n"/>
      <c r="C8" s="23" t="n"/>
      <c r="D8" s="23" t="n"/>
      <c r="E8" s="24" t="n"/>
      <c r="F8" s="24">
        <f>IF(E8*D8&gt;0, E8/D8, "")</f>
        <v/>
      </c>
      <c r="G8" s="18">
        <f>IF(F8="","",IF(F8&gt;=1000,"✓ On Target","⚠ Below Target"))</f>
        <v/>
      </c>
    </row>
    <row r="9">
      <c r="A9" s="22" t="n"/>
      <c r="B9" s="20" t="n"/>
      <c r="C9" s="23" t="n"/>
      <c r="D9" s="23" t="n"/>
      <c r="E9" s="24" t="n"/>
      <c r="F9" s="24">
        <f>IF(E9*D9&gt;0, E9/D9, "")</f>
        <v/>
      </c>
      <c r="G9" s="18">
        <f>IF(F9="","",IF(F9&gt;=1000,"✓ On Target","⚠ Below Target"))</f>
        <v/>
      </c>
    </row>
    <row r="10">
      <c r="A10" s="22" t="n"/>
      <c r="B10" s="20" t="n"/>
      <c r="C10" s="23" t="n"/>
      <c r="D10" s="23" t="n"/>
      <c r="E10" s="24" t="n"/>
      <c r="F10" s="24">
        <f>IF(E10*D10&gt;0, E10/D10, "")</f>
        <v/>
      </c>
      <c r="G10" s="18">
        <f>IF(F10="","",IF(F10&gt;=1000,"✓ On Target","⚠ Below Target"))</f>
        <v/>
      </c>
    </row>
    <row r="11">
      <c r="A11" s="22" t="n"/>
      <c r="B11" s="20" t="n"/>
      <c r="C11" s="23" t="n"/>
      <c r="D11" s="23" t="n"/>
      <c r="E11" s="24" t="n"/>
      <c r="F11" s="24">
        <f>IF(E11*D11&gt;0, E11/D11, "")</f>
        <v/>
      </c>
      <c r="G11" s="18">
        <f>IF(F11="","",IF(F11&gt;=1000,"✓ On Target","⚠ Below Target"))</f>
        <v/>
      </c>
    </row>
    <row r="12">
      <c r="A12" s="22" t="n"/>
      <c r="B12" s="20" t="n"/>
      <c r="C12" s="23" t="n"/>
      <c r="D12" s="23" t="n"/>
      <c r="E12" s="24" t="n"/>
      <c r="F12" s="24">
        <f>IF(E12*D12&gt;0, E12/D12, "")</f>
        <v/>
      </c>
      <c r="G12" s="18">
        <f>IF(F12="","",IF(F12&gt;=1000,"✓ On Target","⚠ Below Target"))</f>
        <v/>
      </c>
    </row>
    <row r="13">
      <c r="A13" s="22" t="n"/>
      <c r="B13" s="20" t="n"/>
      <c r="C13" s="23" t="n"/>
      <c r="D13" s="23" t="n"/>
      <c r="E13" s="24" t="n"/>
      <c r="F13" s="24">
        <f>IF(E13*D13&gt;0, E13/D13, "")</f>
        <v/>
      </c>
      <c r="G13" s="18">
        <f>IF(F13="","",IF(F13&gt;=1000,"✓ On Target","⚠ Below Target"))</f>
        <v/>
      </c>
    </row>
    <row r="14">
      <c r="A14" s="22" t="n"/>
      <c r="B14" s="20" t="n"/>
      <c r="C14" s="23" t="n"/>
      <c r="D14" s="23" t="n"/>
      <c r="E14" s="24" t="n"/>
      <c r="F14" s="24">
        <f>IF(E14*D14&gt;0, E14/D14, "")</f>
        <v/>
      </c>
      <c r="G14" s="18">
        <f>IF(F14="","",IF(F14&gt;=1000,"✓ On Target","⚠ Below Target"))</f>
        <v/>
      </c>
    </row>
    <row r="15">
      <c r="A15" s="22" t="n"/>
      <c r="B15" s="20" t="n"/>
      <c r="C15" s="23" t="n"/>
      <c r="D15" s="23" t="n"/>
      <c r="E15" s="24" t="n"/>
      <c r="F15" s="24">
        <f>IF(E15*D15&gt;0, E15/D15, "")</f>
        <v/>
      </c>
      <c r="G15" s="18">
        <f>IF(F15="","",IF(F15&gt;=1000,"✓ On Target","⚠ Below Target"))</f>
        <v/>
      </c>
    </row>
    <row r="16">
      <c r="A16" s="22" t="n"/>
      <c r="B16" s="20" t="n"/>
      <c r="C16" s="23" t="n"/>
      <c r="D16" s="23" t="n"/>
      <c r="E16" s="24" t="n"/>
      <c r="F16" s="24">
        <f>IF(E16*D16&gt;0, E16/D16, "")</f>
        <v/>
      </c>
      <c r="G16" s="18">
        <f>IF(F16="","",IF(F16&gt;=1000,"✓ On Target","⚠ Below Target"))</f>
        <v/>
      </c>
    </row>
    <row r="17">
      <c r="A17" s="22" t="n"/>
      <c r="B17" s="20" t="n"/>
      <c r="C17" s="23" t="n"/>
      <c r="D17" s="23" t="n"/>
      <c r="E17" s="24" t="n"/>
      <c r="F17" s="24">
        <f>IF(E17*D17&gt;0, E17/D17, "")</f>
        <v/>
      </c>
      <c r="G17" s="18">
        <f>IF(F17="","",IF(F17&gt;=1000,"✓ On Target","⚠ Below Target"))</f>
        <v/>
      </c>
    </row>
    <row r="18">
      <c r="A18" s="22" t="n"/>
      <c r="B18" s="20" t="n"/>
      <c r="C18" s="23" t="n"/>
      <c r="D18" s="23" t="n"/>
      <c r="E18" s="24" t="n"/>
      <c r="F18" s="24">
        <f>IF(E18*D18&gt;0, E18/D18, "")</f>
        <v/>
      </c>
      <c r="G18" s="18">
        <f>IF(F18="","",IF(F18&gt;=1000,"✓ On Target","⚠ Below Target"))</f>
        <v/>
      </c>
    </row>
    <row r="19">
      <c r="A19" s="22" t="n"/>
      <c r="B19" s="20" t="n"/>
      <c r="C19" s="23" t="n"/>
      <c r="D19" s="23" t="n"/>
      <c r="E19" s="24" t="n"/>
      <c r="F19" s="24">
        <f>IF(E19*D19&gt;0, E19/D19, "")</f>
        <v/>
      </c>
      <c r="G19" s="18">
        <f>IF(F19="","",IF(F19&gt;=1000,"✓ On Target","⚠ Below Target"))</f>
        <v/>
      </c>
    </row>
    <row r="20">
      <c r="A20" s="22" t="n"/>
      <c r="B20" s="20" t="n"/>
      <c r="C20" s="23" t="n"/>
      <c r="D20" s="23" t="n"/>
      <c r="E20" s="24" t="n"/>
      <c r="F20" s="24">
        <f>IF(E20*D20&gt;0, E20/D20, "")</f>
        <v/>
      </c>
      <c r="G20" s="18">
        <f>IF(F20="","",IF(F20&gt;=1000,"✓ On Target","⚠ Below Target"))</f>
        <v/>
      </c>
    </row>
    <row r="21">
      <c r="A21" s="22" t="n"/>
      <c r="B21" s="20" t="n"/>
      <c r="C21" s="23" t="n"/>
      <c r="D21" s="23" t="n"/>
      <c r="E21" s="24" t="n"/>
      <c r="F21" s="24">
        <f>IF(E21*D21&gt;0, E21/D21, "")</f>
        <v/>
      </c>
      <c r="G21" s="18">
        <f>IF(F21="","",IF(F21&gt;=1000,"✓ On Target","⚠ Below Target"))</f>
        <v/>
      </c>
    </row>
    <row r="22">
      <c r="A22" s="22" t="n"/>
      <c r="B22" s="20" t="n"/>
      <c r="C22" s="23" t="n"/>
      <c r="D22" s="23" t="n"/>
      <c r="E22" s="24" t="n"/>
      <c r="F22" s="24">
        <f>IF(E22*D22&gt;0, E22/D22, "")</f>
        <v/>
      </c>
      <c r="G22" s="18">
        <f>IF(F22="","",IF(F22&gt;=1000,"✓ On Target","⚠ Below Target"))</f>
        <v/>
      </c>
    </row>
    <row r="23">
      <c r="A23" s="22" t="n"/>
      <c r="B23" s="20" t="n"/>
      <c r="C23" s="23" t="n"/>
      <c r="D23" s="23" t="n"/>
      <c r="E23" s="24" t="n"/>
      <c r="F23" s="24">
        <f>IF(E23*D23&gt;0, E23/D23, "")</f>
        <v/>
      </c>
      <c r="G23" s="18">
        <f>IF(F23="","",IF(F23&gt;=1000,"✓ On Target","⚠ Below Target"))</f>
        <v/>
      </c>
    </row>
    <row r="24">
      <c r="A24" s="22" t="n"/>
      <c r="B24" s="20" t="n"/>
      <c r="C24" s="23" t="n"/>
      <c r="D24" s="23" t="n"/>
      <c r="E24" s="24" t="n"/>
      <c r="F24" s="24">
        <f>IF(E24*D24&gt;0, E24/D24, "")</f>
        <v/>
      </c>
      <c r="G24" s="18">
        <f>IF(F24="","",IF(F24&gt;=1000,"✓ On Target","⚠ Below Target"))</f>
        <v/>
      </c>
    </row>
    <row r="26">
      <c r="A26" s="4" t="inlineStr">
        <is>
          <t>TOTALS</t>
        </is>
      </c>
      <c r="C26" s="25">
        <f>SUM(D5:D24)</f>
        <v/>
      </c>
      <c r="D26" s="25">
        <f>SUM(D5:D24)</f>
        <v/>
      </c>
      <c r="E26" s="26">
        <f>SUM(E5:E24)</f>
        <v/>
      </c>
      <c r="F26" s="26">
        <f>IF(E26*D26&gt;0, E26/D26, "")</f>
        <v/>
      </c>
    </row>
  </sheetData>
  <mergeCells count="2">
    <mergeCell ref="A2:G2"/>
    <mergeCell ref="A1:G1"/>
  </mergeCells>
  <conditionalFormatting sqref="A5:G24">
    <cfRule type="expression" priority="1" dxfId="0">
      <formula>$F5&lt;&gt;""</formula>
      <formula>$F5&lt;1000</formula>
    </cfRule>
    <cfRule type="expression" priority="2" dxfId="1">
      <formula>$F5&lt;&gt;""</formula>
      <formula>$F5&gt;=1000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9F00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2" customWidth="1" min="3" max="3"/>
    <col width="50" customWidth="1" min="4" max="4"/>
  </cols>
  <sheetData>
    <row r="1">
      <c r="A1" s="1" t="inlineStr">
        <is>
          <t>BREAKEVEN ANALYSIS</t>
        </is>
      </c>
    </row>
    <row r="2">
      <c r="A2" s="2" t="inlineStr">
        <is>
          <t>Enter your monthly fixed costs. The sheet calculates minimum billable hours to break even.</t>
        </is>
      </c>
    </row>
    <row r="4">
      <c r="A4" s="3" t="inlineStr">
        <is>
          <t>Cost Category</t>
        </is>
      </c>
      <c r="B4" s="3" t="inlineStr">
        <is>
          <t>Monthly Amount (DA)</t>
        </is>
      </c>
      <c r="C4" s="3" t="inlineStr"/>
      <c r="D4" s="3" t="inlineStr">
        <is>
          <t>Notes</t>
        </is>
      </c>
    </row>
    <row r="5">
      <c r="A5" s="12" t="inlineStr">
        <is>
          <t>Workshop Rent</t>
        </is>
      </c>
      <c r="B5" s="9" t="n">
        <v>0</v>
      </c>
      <c r="D5" s="7" t="inlineStr">
        <is>
          <t>El Harrouch base</t>
        </is>
      </c>
    </row>
    <row r="6">
      <c r="A6" s="12" t="inlineStr">
        <is>
          <t>Utilities (Elec/Water/Gas)</t>
        </is>
      </c>
      <c r="B6" s="9" t="n">
        <v>0</v>
      </c>
      <c r="D6" s="7" t="inlineStr">
        <is>
          <t>Workshop + office</t>
        </is>
      </c>
    </row>
    <row r="7">
      <c r="A7" s="12" t="inlineStr">
        <is>
          <t>Lead Engineer Salary</t>
        </is>
      </c>
      <c r="B7" s="9" t="n">
        <v>0</v>
      </c>
      <c r="D7" s="7" t="inlineStr">
        <is>
          <t>Your draw</t>
        </is>
      </c>
    </row>
    <row r="8">
      <c r="A8" s="12" t="inlineStr">
        <is>
          <t>Electrical Tech Salary</t>
        </is>
      </c>
      <c r="B8" s="9" t="n">
        <v>0</v>
      </c>
      <c r="D8" s="7" t="inlineStr">
        <is>
          <t>Lead Electrical Tech</t>
        </is>
      </c>
    </row>
    <row r="9">
      <c r="A9" s="12" t="inlineStr">
        <is>
          <t>Mechanical Tech Salary</t>
        </is>
      </c>
      <c r="B9" s="9" t="n">
        <v>0</v>
      </c>
      <c r="D9" s="7" t="inlineStr">
        <is>
          <t>Mechanical Building Lead</t>
        </is>
      </c>
    </row>
    <row r="10">
      <c r="A10" s="12" t="inlineStr">
        <is>
          <t>Generalist Tech Salary</t>
        </is>
      </c>
      <c r="B10" s="9" t="n">
        <v>0</v>
      </c>
      <c r="D10" s="7" t="inlineStr">
        <is>
          <t>The Bridge</t>
        </is>
      </c>
    </row>
    <row r="11">
      <c r="A11" s="12" t="inlineStr">
        <is>
          <t>Vehicle Fuel &amp; Maint.</t>
        </is>
      </c>
      <c r="B11" s="9" t="n">
        <v>0</v>
      </c>
      <c r="D11" s="7" t="inlineStr">
        <is>
          <t>Service vehicle</t>
        </is>
      </c>
    </row>
    <row r="12">
      <c r="A12" s="12" t="inlineStr">
        <is>
          <t>Tool Depreciation</t>
        </is>
      </c>
      <c r="B12" s="9" t="n">
        <v>0</v>
      </c>
      <c r="D12" s="7" t="inlineStr">
        <is>
          <t>Diagnostic + machining tools</t>
        </is>
      </c>
    </row>
    <row r="13">
      <c r="A13" s="12" t="inlineStr">
        <is>
          <t>Safety Gear &amp; Training</t>
        </is>
      </c>
      <c r="B13" s="9" t="n">
        <v>0</v>
      </c>
      <c r="D13" s="7" t="inlineStr">
        <is>
          <t>PPE renewals, certifications</t>
        </is>
      </c>
    </row>
    <row r="14">
      <c r="A14" s="12" t="inlineStr">
        <is>
          <t>Marketing &amp; Materials</t>
        </is>
      </c>
      <c r="B14" s="9" t="n">
        <v>0</v>
      </c>
      <c r="D14" s="7" t="inlineStr">
        <is>
          <t>Website, business cards, proposals</t>
        </is>
      </c>
    </row>
    <row r="15">
      <c r="A15" s="12" t="inlineStr">
        <is>
          <t>Insurance &amp; Licensing</t>
        </is>
      </c>
      <c r="B15" s="9" t="n">
        <v>0</v>
      </c>
      <c r="D15" s="7" t="inlineStr">
        <is>
          <t>Liability, professional registration</t>
        </is>
      </c>
    </row>
    <row r="16">
      <c r="A16" s="12" t="inlineStr">
        <is>
          <t>Miscellaneous</t>
        </is>
      </c>
      <c r="B16" s="9" t="n">
        <v>0</v>
      </c>
      <c r="D16" s="7" t="inlineStr">
        <is>
          <t>Buffer for unplanned costs</t>
        </is>
      </c>
    </row>
    <row r="18">
      <c r="A18" s="4" t="inlineStr">
        <is>
          <t>TOTAL MONTHLY FIXED COSTS</t>
        </is>
      </c>
      <c r="B18" s="27">
        <f>SUM(B5:B16)</f>
        <v/>
      </c>
    </row>
    <row r="19">
      <c r="A19" s="12" t="inlineStr">
        <is>
          <t>Standard Billing Rate</t>
        </is>
      </c>
      <c r="B19" s="26">
        <f>Settings!B5</f>
        <v/>
      </c>
    </row>
    <row r="20">
      <c r="A20" s="28" t="inlineStr">
        <is>
          <t>BREAKEVEN — Min Billable Hours/Month</t>
        </is>
      </c>
      <c r="B20" s="29">
        <f>ROUNDUP(B18/B19, 1)</f>
        <v/>
      </c>
    </row>
    <row r="21">
      <c r="A21" s="12" t="inlineStr">
        <is>
          <t>≈ Working Days Needed (8hr days)</t>
        </is>
      </c>
      <c r="B21" s="25">
        <f>ROUNDUP(B20/8, 1)</f>
        <v/>
      </c>
    </row>
    <row r="23">
      <c r="A23" s="30" t="inlineStr">
        <is>
          <t>TIP: Fill in your actual monthly costs above. The breakeven updates instantly.</t>
        </is>
      </c>
    </row>
  </sheetData>
  <mergeCells count="3">
    <mergeCell ref="A1:D1"/>
    <mergeCell ref="A23:D2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2026-07-09T12:44:27Z</dcterms:created>
  <dcterms:modified xsi:type="dcterms:W3CDTF">2026-07-09T12:44:27Z</dcterms:modified>
</cp:coreProperties>
</file>
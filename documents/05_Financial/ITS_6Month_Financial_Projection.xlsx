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khemis akram\OpenCode\ITS Profile\Documents\05_Financial\"/>
    </mc:Choice>
  </mc:AlternateContent>
  <xr:revisionPtr revIDLastSave="0" documentId="13_ncr:1_{D883A36A-7A9F-467B-A3C7-FEAAF86764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umptions" sheetId="1" r:id="rId1"/>
    <sheet name="Conservative" sheetId="2" r:id="rId2"/>
    <sheet name="Moderate" sheetId="3" r:id="rId3"/>
    <sheet name="Optimistic" sheetId="4" r:id="rId4"/>
    <sheet name="Summary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C14" i="4"/>
  <c r="F13" i="4"/>
  <c r="D13" i="4"/>
  <c r="B13" i="4"/>
  <c r="D9" i="5" s="1"/>
  <c r="E11" i="4"/>
  <c r="C11" i="4"/>
  <c r="G11" i="4" s="1"/>
  <c r="B29" i="4" s="1"/>
  <c r="E10" i="4"/>
  <c r="C10" i="4"/>
  <c r="G10" i="4" s="1"/>
  <c r="B28" i="4" s="1"/>
  <c r="E9" i="4"/>
  <c r="C9" i="4"/>
  <c r="G9" i="4" s="1"/>
  <c r="B27" i="4" s="1"/>
  <c r="E8" i="4"/>
  <c r="C8" i="4"/>
  <c r="G8" i="4" s="1"/>
  <c r="B26" i="4" s="1"/>
  <c r="E7" i="4"/>
  <c r="C7" i="4"/>
  <c r="C13" i="4" s="1"/>
  <c r="B18" i="4" s="1"/>
  <c r="D6" i="5" s="1"/>
  <c r="E6" i="4"/>
  <c r="E13" i="4" s="1"/>
  <c r="C6" i="4"/>
  <c r="G6" i="4" s="1"/>
  <c r="G14" i="3"/>
  <c r="C10" i="5" s="1"/>
  <c r="F14" i="3"/>
  <c r="E14" i="3"/>
  <c r="D14" i="3"/>
  <c r="C14" i="3"/>
  <c r="F13" i="3"/>
  <c r="D13" i="3"/>
  <c r="B13" i="3"/>
  <c r="C9" i="5" s="1"/>
  <c r="E11" i="3"/>
  <c r="C11" i="3"/>
  <c r="G11" i="3" s="1"/>
  <c r="B29" i="3" s="1"/>
  <c r="E10" i="3"/>
  <c r="G10" i="3" s="1"/>
  <c r="B28" i="3" s="1"/>
  <c r="C10" i="3"/>
  <c r="E9" i="3"/>
  <c r="C9" i="3"/>
  <c r="G9" i="3" s="1"/>
  <c r="B27" i="3" s="1"/>
  <c r="E8" i="3"/>
  <c r="G8" i="3" s="1"/>
  <c r="B26" i="3" s="1"/>
  <c r="C8" i="3"/>
  <c r="E7" i="3"/>
  <c r="C7" i="3"/>
  <c r="C13" i="3" s="1"/>
  <c r="B18" i="3" s="1"/>
  <c r="C6" i="5" s="1"/>
  <c r="E6" i="3"/>
  <c r="G6" i="3" s="1"/>
  <c r="C6" i="3"/>
  <c r="G14" i="2"/>
  <c r="B10" i="5" s="1"/>
  <c r="E14" i="2"/>
  <c r="C14" i="2"/>
  <c r="F13" i="2"/>
  <c r="D13" i="2"/>
  <c r="C13" i="2"/>
  <c r="B18" i="2" s="1"/>
  <c r="B6" i="5" s="1"/>
  <c r="B13" i="2"/>
  <c r="B14" i="2" s="1"/>
  <c r="B11" i="5" s="1"/>
  <c r="G11" i="2"/>
  <c r="B29" i="2" s="1"/>
  <c r="E11" i="2"/>
  <c r="C11" i="2"/>
  <c r="E10" i="2"/>
  <c r="C10" i="2"/>
  <c r="G10" i="2" s="1"/>
  <c r="B28" i="2" s="1"/>
  <c r="G9" i="2"/>
  <c r="B27" i="2" s="1"/>
  <c r="E9" i="2"/>
  <c r="C9" i="2"/>
  <c r="E8" i="2"/>
  <c r="C8" i="2"/>
  <c r="G8" i="2" s="1"/>
  <c r="B26" i="2" s="1"/>
  <c r="G7" i="2"/>
  <c r="B25" i="2" s="1"/>
  <c r="E7" i="2"/>
  <c r="C7" i="2"/>
  <c r="E6" i="2"/>
  <c r="E13" i="2" s="1"/>
  <c r="C6" i="2"/>
  <c r="G6" i="2" s="1"/>
  <c r="B25" i="1"/>
  <c r="B12" i="5" s="1"/>
  <c r="D25" i="2" l="1"/>
  <c r="D27" i="4"/>
  <c r="D26" i="2"/>
  <c r="B24" i="4"/>
  <c r="D28" i="3"/>
  <c r="E28" i="3"/>
  <c r="D29" i="2"/>
  <c r="D29" i="3"/>
  <c r="D28" i="4"/>
  <c r="B24" i="3"/>
  <c r="G13" i="2"/>
  <c r="B24" i="2"/>
  <c r="D27" i="2"/>
  <c r="D26" i="3"/>
  <c r="E26" i="3" s="1"/>
  <c r="D28" i="2"/>
  <c r="D27" i="3"/>
  <c r="D26" i="4"/>
  <c r="E26" i="4"/>
  <c r="D29" i="4"/>
  <c r="C28" i="2"/>
  <c r="E28" i="2" s="1"/>
  <c r="G14" i="4"/>
  <c r="D10" i="5" s="1"/>
  <c r="C24" i="4"/>
  <c r="C12" i="5"/>
  <c r="E13" i="3"/>
  <c r="C26" i="3"/>
  <c r="G7" i="4"/>
  <c r="B25" i="4" s="1"/>
  <c r="D14" i="2"/>
  <c r="C27" i="2"/>
  <c r="E27" i="2" s="1"/>
  <c r="C25" i="3"/>
  <c r="B14" i="4"/>
  <c r="D11" i="5" s="1"/>
  <c r="B17" i="4"/>
  <c r="D5" i="5" s="1"/>
  <c r="C29" i="4"/>
  <c r="E29" i="4" s="1"/>
  <c r="D12" i="5"/>
  <c r="C26" i="2"/>
  <c r="E26" i="2" s="1"/>
  <c r="G7" i="3"/>
  <c r="B25" i="3" s="1"/>
  <c r="C24" i="3"/>
  <c r="C28" i="4"/>
  <c r="E28" i="4" s="1"/>
  <c r="B9" i="5"/>
  <c r="B16" i="5"/>
  <c r="F14" i="2"/>
  <c r="C25" i="2"/>
  <c r="E25" i="2" s="1"/>
  <c r="B14" i="3"/>
  <c r="C11" i="5" s="1"/>
  <c r="B17" i="3"/>
  <c r="C5" i="5" s="1"/>
  <c r="C29" i="3"/>
  <c r="E29" i="3" s="1"/>
  <c r="D14" i="4"/>
  <c r="C27" i="4"/>
  <c r="E27" i="4" s="1"/>
  <c r="C24" i="2"/>
  <c r="E14" i="4"/>
  <c r="C26" i="4"/>
  <c r="C28" i="3"/>
  <c r="B17" i="2"/>
  <c r="B5" i="5" s="1"/>
  <c r="C29" i="2"/>
  <c r="E29" i="2" s="1"/>
  <c r="C27" i="3"/>
  <c r="E27" i="3" s="1"/>
  <c r="C25" i="4"/>
  <c r="E25" i="3" l="1"/>
  <c r="D25" i="3"/>
  <c r="D25" i="4"/>
  <c r="E25" i="4" s="1"/>
  <c r="D24" i="3"/>
  <c r="E24" i="3" s="1"/>
  <c r="F24" i="3" s="1"/>
  <c r="F25" i="3" s="1"/>
  <c r="F26" i="3" s="1"/>
  <c r="F27" i="3" s="1"/>
  <c r="F28" i="3" s="1"/>
  <c r="F29" i="3" s="1"/>
  <c r="D24" i="2"/>
  <c r="E24" i="2" s="1"/>
  <c r="F24" i="2" s="1"/>
  <c r="F25" i="2" s="1"/>
  <c r="F26" i="2" s="1"/>
  <c r="F27" i="2" s="1"/>
  <c r="F28" i="2" s="1"/>
  <c r="F29" i="2" s="1"/>
  <c r="G13" i="4"/>
  <c r="G13" i="3"/>
  <c r="B4" i="5"/>
  <c r="B20" i="2"/>
  <c r="B8" i="5" s="1"/>
  <c r="B19" i="2"/>
  <c r="D24" i="4"/>
  <c r="E24" i="4" s="1"/>
  <c r="F24" i="4" s="1"/>
  <c r="F25" i="4" s="1"/>
  <c r="F26" i="4" s="1"/>
  <c r="F27" i="4" s="1"/>
  <c r="F28" i="4" s="1"/>
  <c r="F29" i="4" s="1"/>
  <c r="B17" i="5" l="1"/>
  <c r="B7" i="5"/>
  <c r="B19" i="3"/>
  <c r="C4" i="5"/>
  <c r="B19" i="4"/>
  <c r="B20" i="4" s="1"/>
  <c r="D8" i="5" s="1"/>
  <c r="D4" i="5"/>
  <c r="B18" i="5" l="1"/>
  <c r="C7" i="5"/>
  <c r="B19" i="5"/>
  <c r="D7" i="5"/>
  <c r="B20" i="3"/>
  <c r="C8" i="5" s="1"/>
</calcChain>
</file>

<file path=xl/sharedStrings.xml><?xml version="1.0" encoding="utf-8"?>
<sst xmlns="http://schemas.openxmlformats.org/spreadsheetml/2006/main" count="217" uniqueCount="100">
  <si>
    <t>ITS — FINANCIAL PROJECTION ASSUMPTIONS</t>
  </si>
  <si>
    <t>Edit these inputs — all scenario sheets update automatically.</t>
  </si>
  <si>
    <t>Parameter</t>
  </si>
  <si>
    <t>Value</t>
  </si>
  <si>
    <t>Unit</t>
  </si>
  <si>
    <t>Notes</t>
  </si>
  <si>
    <t>Standard Hourly Rate</t>
  </si>
  <si>
    <t>DA/hr</t>
  </si>
  <si>
    <t>From Pricing Calculator</t>
  </si>
  <si>
    <t>Emergency Hourly Rate</t>
  </si>
  <si>
    <t>1.5x multiplier</t>
  </si>
  <si>
    <t>Dispatch Fee</t>
  </si>
  <si>
    <t>DA</t>
  </si>
  <si>
    <t>Flat fee</t>
  </si>
  <si>
    <t>Minimum Call-Out</t>
  </si>
  <si>
    <t>Non-emergency minimum</t>
  </si>
  <si>
    <t>Materials Markup %</t>
  </si>
  <si>
    <t>%</t>
  </si>
  <si>
    <t>Default markup on parts</t>
  </si>
  <si>
    <t>Target Profit Margin %</t>
  </si>
  <si>
    <t>Net margin target</t>
  </si>
  <si>
    <t>SLA Basic Rate</t>
  </si>
  <si>
    <t>DA/mo</t>
  </si>
  <si>
    <t>Monthly retainer</t>
  </si>
  <si>
    <t>SLA Standard Rate</t>
  </si>
  <si>
    <t>SLA Comprehensive Rate</t>
  </si>
  <si>
    <t>Workshop Rent</t>
  </si>
  <si>
    <t>ENTER YOUR ACTUAL COST</t>
  </si>
  <si>
    <t>Utilities</t>
  </si>
  <si>
    <t>Lead Engineer Salary</t>
  </si>
  <si>
    <t>Electrical Tech Salary</t>
  </si>
  <si>
    <t>Mechanical Tech Salary</t>
  </si>
  <si>
    <t>Generalist Tech Salary</t>
  </si>
  <si>
    <t>Vehicle &amp; Transport</t>
  </si>
  <si>
    <t>Tools &amp; Equipment</t>
  </si>
  <si>
    <t>Marketing &amp; Admin</t>
  </si>
  <si>
    <t>Miscellaneous</t>
  </si>
  <si>
    <t>TOTAL MONTHLY FIXED COSTS</t>
  </si>
  <si>
    <t>SCENARIO 1: CONSERVATIVE — 3 Projects + 1 SLA</t>
  </si>
  <si>
    <t>All formulas reference the 'Assumptions' sheet. Change assumptions once, all scenarios update.</t>
  </si>
  <si>
    <t>Month</t>
  </si>
  <si>
    <t>Project Hours</t>
  </si>
  <si>
    <t>Project Revenue (DA)</t>
  </si>
  <si>
    <t>Emergency Hours</t>
  </si>
  <si>
    <t>Emergency Revenue (DA)</t>
  </si>
  <si>
    <t>SLA Revenue (DA)</t>
  </si>
  <si>
    <t>Total Revenue (DA)</t>
  </si>
  <si>
    <t>Fixed Hours</t>
  </si>
  <si>
    <t>From Projects</t>
  </si>
  <si>
    <t>Emergency</t>
  </si>
  <si>
    <t>Emergency Billing</t>
  </si>
  <si>
    <t>SLA Retainers</t>
  </si>
  <si>
    <t>Monthly Total</t>
  </si>
  <si>
    <t>Month 1</t>
  </si>
  <si>
    <t>Month 2</t>
  </si>
  <si>
    <t>Month 3</t>
  </si>
  <si>
    <t>Month 4</t>
  </si>
  <si>
    <t>Month 5</t>
  </si>
  <si>
    <t>Month 6</t>
  </si>
  <si>
    <t>6-MONTH TOTAL</t>
  </si>
  <si>
    <t>Monthly Average</t>
  </si>
  <si>
    <t>COSTS &amp; PROFIT</t>
  </si>
  <si>
    <t>Total 6-Month Fixed Costs</t>
  </si>
  <si>
    <t>Total 6-Month Variable Costs (est. 30% of project rev)</t>
  </si>
  <si>
    <t>Gross Profit</t>
  </si>
  <si>
    <t>Profit Margin</t>
  </si>
  <si>
    <t>MONTHLY CASH FLOW</t>
  </si>
  <si>
    <t>Revenue</t>
  </si>
  <si>
    <t>Fixed Costs</t>
  </si>
  <si>
    <t>Variable Costs (est.)</t>
  </si>
  <si>
    <t>Net Cash Flow</t>
  </si>
  <si>
    <t>Cumulative</t>
  </si>
  <si>
    <t>SCENARIO 2: MODERATE — 5 Projects + 2 SLAs</t>
  </si>
  <si>
    <t>SCENARIO 3: OPTIMISTIC — 8 Projects + 4 SLAs</t>
  </si>
  <si>
    <t>ITS — 6-MONTH FINANCIAL PROJECTION SUMMARY</t>
  </si>
  <si>
    <t>Metric</t>
  </si>
  <si>
    <t>Conservative</t>
  </si>
  <si>
    <t>Moderate</t>
  </si>
  <si>
    <t>Optimistic</t>
  </si>
  <si>
    <t>Total Revenue (6 months)</t>
  </si>
  <si>
    <t>Top-line revenue</t>
  </si>
  <si>
    <t>Total Fixed Costs (6 mo)</t>
  </si>
  <si>
    <t>From Assumptions sheet</t>
  </si>
  <si>
    <t>Total Variable Costs</t>
  </si>
  <si>
    <t>Estimated 30% of project rev</t>
  </si>
  <si>
    <t>Revenue - All costs</t>
  </si>
  <si>
    <t>Margin %</t>
  </si>
  <si>
    <t>Total Project Hours</t>
  </si>
  <si>
    <t>Billable hours</t>
  </si>
  <si>
    <t>Avg Monthly Revenue</t>
  </si>
  <si>
    <t>Monthly average</t>
  </si>
  <si>
    <t>Avg Monthly Hours</t>
  </si>
  <si>
    <t>Breakeven Hours/Month</t>
  </si>
  <si>
    <t>Fixed costs / hourly rate</t>
  </si>
  <si>
    <t>VERDICT: Is ITS viable?</t>
  </si>
  <si>
    <t>Break-even monthly hours:</t>
  </si>
  <si>
    <t>hours/month needed to cover fixed costs</t>
  </si>
  <si>
    <t>Conservative scenario covers costs?</t>
  </si>
  <si>
    <t>Moderate scenario covers costs?</t>
  </si>
  <si>
    <t>Optimistic scenario covers costs?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</si>
</sst>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\ DA&quot;"/>
    <numFmt numFmtId="165" formatCode="0.0%"/>
    <numFmt numFmtId="166" formatCode="0.0"/>
  </numFmts>
  <fonts count="11">
    <font>
      <sz val="11"/>
      <color theme="1"/>
      <name val="Calibri"/>
      <family val="2"/>
      <scheme val="minor"/>
    </font>
    <font>
      <b/>
      <sz val="14"/>
      <color rgb="FFFF9F00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A1A1A"/>
      <name val="Calibri"/>
    </font>
    <font>
      <sz val="11"/>
      <name val="Calibri"/>
    </font>
    <font>
      <sz val="10"/>
      <color rgb="FF666666"/>
      <name val="Calibri"/>
    </font>
    <font>
      <b/>
      <sz val="12"/>
      <color rgb="FFFF9F00"/>
      <name val="Calibri"/>
    </font>
    <font>
      <b/>
      <sz val="12"/>
      <name val="Calibri"/>
    </font>
    <font>
      <b/>
      <sz val="11"/>
      <color rgb="FFFF9F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9F00"/>
        <bgColor rgb="FFFF9F00"/>
      </patternFill>
    </fill>
    <fill>
      <patternFill patternType="solid">
        <fgColor rgb="FFFFF3E0"/>
        <bgColor rgb="FFFFF3E0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theme="3"/>
        <bgColor rgb="FFFF9F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65" fontId="5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/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  <dxf>
      <fill>
        <patternFill patternType="solid">
          <fgColor rgb="FFFFEBEE"/>
          <bgColor rgb="FFFFEBEE"/>
        </patternFill>
      </fill>
    </dxf>
    <dxf>
      <fill>
        <patternFill patternType="solid">
          <fgColor rgb="FFE8F5E9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F00"/>
  </sheetPr>
  <dimension ref="A1:D25"/>
  <sheetViews>
    <sheetView tabSelected="1" workbookViewId="0">
      <selection activeCell="C14" sqref="C14"/>
    </sheetView>
  </sheetViews>
  <sheetFormatPr defaultRowHeight="14.4"/>
  <cols>
    <col min="1" max="1" width="40" customWidth="1"/>
    <col min="2" max="2" width="20" customWidth="1"/>
    <col min="3" max="3" width="12" customWidth="1"/>
    <col min="4" max="4" width="50" customWidth="1"/>
  </cols>
  <sheetData>
    <row r="1" spans="1:4" ht="18">
      <c r="A1" s="23" t="s">
        <v>0</v>
      </c>
      <c r="B1" s="24"/>
      <c r="C1" s="24"/>
      <c r="D1" s="24"/>
    </row>
    <row r="2" spans="1:4">
      <c r="A2" s="25" t="s">
        <v>1</v>
      </c>
      <c r="B2" s="24"/>
      <c r="C2" s="24"/>
      <c r="D2" s="24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1000</v>
      </c>
      <c r="C5" s="4" t="s">
        <v>7</v>
      </c>
      <c r="D5" s="5" t="s">
        <v>8</v>
      </c>
    </row>
    <row r="6" spans="1:4">
      <c r="A6" s="2" t="s">
        <v>9</v>
      </c>
      <c r="B6" s="3">
        <v>1500</v>
      </c>
      <c r="C6" s="4" t="s">
        <v>7</v>
      </c>
      <c r="D6" s="5" t="s">
        <v>10</v>
      </c>
    </row>
    <row r="7" spans="1:4">
      <c r="A7" s="2" t="s">
        <v>11</v>
      </c>
      <c r="B7" s="3">
        <v>2000</v>
      </c>
      <c r="C7" s="4" t="s">
        <v>12</v>
      </c>
      <c r="D7" s="5" t="s">
        <v>13</v>
      </c>
    </row>
    <row r="8" spans="1:4">
      <c r="A8" s="2" t="s">
        <v>14</v>
      </c>
      <c r="B8" s="3">
        <v>2500</v>
      </c>
      <c r="C8" s="4" t="s">
        <v>12</v>
      </c>
      <c r="D8" s="5" t="s">
        <v>15</v>
      </c>
    </row>
    <row r="9" spans="1:4">
      <c r="A9" s="2" t="s">
        <v>16</v>
      </c>
      <c r="B9" s="6">
        <v>0.15</v>
      </c>
      <c r="C9" s="4" t="s">
        <v>17</v>
      </c>
      <c r="D9" s="5" t="s">
        <v>18</v>
      </c>
    </row>
    <row r="10" spans="1:4">
      <c r="A10" s="2" t="s">
        <v>19</v>
      </c>
      <c r="B10" s="6">
        <v>0.25</v>
      </c>
      <c r="C10" s="4" t="s">
        <v>17</v>
      </c>
      <c r="D10" s="5" t="s">
        <v>20</v>
      </c>
    </row>
    <row r="11" spans="1:4">
      <c r="A11" s="2" t="s">
        <v>21</v>
      </c>
      <c r="B11" s="3">
        <v>6000</v>
      </c>
      <c r="C11" s="4" t="s">
        <v>22</v>
      </c>
      <c r="D11" s="5" t="s">
        <v>23</v>
      </c>
    </row>
    <row r="12" spans="1:4">
      <c r="A12" s="2" t="s">
        <v>24</v>
      </c>
      <c r="B12" s="3">
        <v>10000</v>
      </c>
      <c r="C12" s="4" t="s">
        <v>22</v>
      </c>
      <c r="D12" s="5" t="s">
        <v>23</v>
      </c>
    </row>
    <row r="13" spans="1:4">
      <c r="A13" s="2" t="s">
        <v>25</v>
      </c>
      <c r="B13" s="3">
        <v>16000</v>
      </c>
      <c r="C13" s="4" t="s">
        <v>22</v>
      </c>
      <c r="D13" s="5" t="s">
        <v>23</v>
      </c>
    </row>
    <row r="14" spans="1:4">
      <c r="A14" s="2" t="s">
        <v>26</v>
      </c>
      <c r="B14" s="3">
        <v>0</v>
      </c>
      <c r="C14" s="4" t="s">
        <v>22</v>
      </c>
      <c r="D14" s="5" t="s">
        <v>27</v>
      </c>
    </row>
    <row r="15" spans="1:4">
      <c r="A15" s="2" t="s">
        <v>28</v>
      </c>
      <c r="B15" s="3">
        <v>0</v>
      </c>
      <c r="C15" s="4" t="s">
        <v>22</v>
      </c>
      <c r="D15" s="5" t="s">
        <v>27</v>
      </c>
    </row>
    <row r="16" spans="1:4">
      <c r="A16" s="2" t="s">
        <v>29</v>
      </c>
      <c r="B16" s="3">
        <v>0</v>
      </c>
      <c r="C16" s="4" t="s">
        <v>22</v>
      </c>
      <c r="D16" s="5" t="s">
        <v>27</v>
      </c>
    </row>
    <row r="17" spans="1:4">
      <c r="A17" s="2" t="s">
        <v>30</v>
      </c>
      <c r="B17" s="3">
        <v>0</v>
      </c>
      <c r="C17" s="4" t="s">
        <v>22</v>
      </c>
      <c r="D17" s="5" t="s">
        <v>27</v>
      </c>
    </row>
    <row r="18" spans="1:4">
      <c r="A18" s="2" t="s">
        <v>31</v>
      </c>
      <c r="B18" s="3">
        <v>0</v>
      </c>
      <c r="C18" s="4" t="s">
        <v>22</v>
      </c>
      <c r="D18" s="5" t="s">
        <v>27</v>
      </c>
    </row>
    <row r="19" spans="1:4">
      <c r="A19" s="2" t="s">
        <v>32</v>
      </c>
      <c r="B19" s="3">
        <v>0</v>
      </c>
      <c r="C19" s="4" t="s">
        <v>22</v>
      </c>
      <c r="D19" s="5" t="s">
        <v>27</v>
      </c>
    </row>
    <row r="20" spans="1:4">
      <c r="A20" s="2" t="s">
        <v>33</v>
      </c>
      <c r="B20" s="3">
        <v>0</v>
      </c>
      <c r="C20" s="4" t="s">
        <v>22</v>
      </c>
      <c r="D20" s="5" t="s">
        <v>27</v>
      </c>
    </row>
    <row r="21" spans="1:4">
      <c r="A21" s="2" t="s">
        <v>34</v>
      </c>
      <c r="B21" s="3">
        <v>0</v>
      </c>
      <c r="C21" s="4" t="s">
        <v>22</v>
      </c>
      <c r="D21" s="5" t="s">
        <v>27</v>
      </c>
    </row>
    <row r="22" spans="1:4">
      <c r="A22" s="2" t="s">
        <v>35</v>
      </c>
      <c r="B22" s="3">
        <v>0</v>
      </c>
      <c r="C22" s="4" t="s">
        <v>22</v>
      </c>
      <c r="D22" s="5" t="s">
        <v>27</v>
      </c>
    </row>
    <row r="23" spans="1:4">
      <c r="A23" s="2" t="s">
        <v>36</v>
      </c>
      <c r="B23" s="3">
        <v>0</v>
      </c>
      <c r="C23" s="4" t="s">
        <v>22</v>
      </c>
      <c r="D23" s="5" t="s">
        <v>27</v>
      </c>
    </row>
    <row r="25" spans="1:4">
      <c r="A25" s="2" t="s">
        <v>37</v>
      </c>
      <c r="B25" s="7">
        <f>SUM(B14:B23)</f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F00"/>
  </sheetPr>
  <dimension ref="A1:G29"/>
  <sheetViews>
    <sheetView workbookViewId="0">
      <pane ySplit="5" topLeftCell="A6" activePane="bottomLeft" state="frozen"/>
      <selection pane="bottomLeft" activeCell="I15" sqref="I15"/>
    </sheetView>
  </sheetViews>
  <sheetFormatPr defaultRowHeight="14.4"/>
  <cols>
    <col min="1" max="1" width="12" customWidth="1"/>
    <col min="2" max="2" width="22" customWidth="1"/>
    <col min="3" max="3" width="18" customWidth="1"/>
    <col min="4" max="4" width="24" customWidth="1"/>
    <col min="5" max="6" width="22" customWidth="1"/>
    <col min="7" max="7" width="12" customWidth="1"/>
  </cols>
  <sheetData>
    <row r="1" spans="1:7" ht="18">
      <c r="A1" s="23" t="s">
        <v>38</v>
      </c>
      <c r="B1" s="24"/>
      <c r="C1" s="24"/>
      <c r="D1" s="24"/>
      <c r="E1" s="24"/>
      <c r="F1" s="24"/>
      <c r="G1" s="24"/>
    </row>
    <row r="2" spans="1:7">
      <c r="A2" s="25" t="s">
        <v>39</v>
      </c>
      <c r="B2" s="24"/>
      <c r="C2" s="24"/>
      <c r="D2" s="24"/>
      <c r="E2" s="24"/>
      <c r="F2" s="24"/>
      <c r="G2" s="24"/>
    </row>
    <row r="4" spans="1:7" ht="43.2">
      <c r="A4" s="27" t="s">
        <v>40</v>
      </c>
      <c r="B4" s="27" t="s">
        <v>41</v>
      </c>
      <c r="C4" s="27" t="s">
        <v>42</v>
      </c>
      <c r="D4" s="27" t="s">
        <v>43</v>
      </c>
      <c r="E4" s="27" t="s">
        <v>44</v>
      </c>
      <c r="F4" s="27" t="s">
        <v>45</v>
      </c>
      <c r="G4" s="27" t="s">
        <v>46</v>
      </c>
    </row>
    <row r="5" spans="1:7" ht="28.8">
      <c r="A5" s="27"/>
      <c r="B5" s="27" t="s">
        <v>47</v>
      </c>
      <c r="C5" s="27" t="s">
        <v>48</v>
      </c>
      <c r="D5" s="27" t="s">
        <v>49</v>
      </c>
      <c r="E5" s="27" t="s">
        <v>50</v>
      </c>
      <c r="F5" s="27" t="s">
        <v>51</v>
      </c>
      <c r="G5" s="27" t="s">
        <v>52</v>
      </c>
    </row>
    <row r="6" spans="1:7">
      <c r="A6" s="8" t="s">
        <v>53</v>
      </c>
      <c r="B6" s="9">
        <v>20</v>
      </c>
      <c r="C6" s="10">
        <f>B6*Assumptions!B5+Assumptions!B9*B6*Assumptions!B5</f>
        <v>23000</v>
      </c>
      <c r="D6" s="9">
        <v>2</v>
      </c>
      <c r="E6" s="10">
        <f>D6*Assumptions!B6+Assumptions!B7</f>
        <v>5000</v>
      </c>
      <c r="F6" s="10">
        <v>6000</v>
      </c>
      <c r="G6" s="11">
        <f t="shared" ref="G6:G11" si="0">C6+E6+F6</f>
        <v>34000</v>
      </c>
    </row>
    <row r="7" spans="1:7">
      <c r="A7" s="12" t="s">
        <v>54</v>
      </c>
      <c r="B7" s="13">
        <v>25</v>
      </c>
      <c r="C7" s="14">
        <f>B7*Assumptions!B5+Assumptions!B9*B7*Assumptions!B5</f>
        <v>28750</v>
      </c>
      <c r="D7" s="13">
        <v>3</v>
      </c>
      <c r="E7" s="14">
        <f>D7*Assumptions!B6+Assumptions!B7</f>
        <v>6500</v>
      </c>
      <c r="F7" s="14">
        <v>6000</v>
      </c>
      <c r="G7" s="15">
        <f t="shared" si="0"/>
        <v>41250</v>
      </c>
    </row>
    <row r="8" spans="1:7">
      <c r="A8" s="8" t="s">
        <v>55</v>
      </c>
      <c r="B8" s="9">
        <v>20</v>
      </c>
      <c r="C8" s="10">
        <f>B8*Assumptions!B5+Assumptions!B9*B8*Assumptions!B5</f>
        <v>23000</v>
      </c>
      <c r="D8" s="9">
        <v>2</v>
      </c>
      <c r="E8" s="10">
        <f>D8*Assumptions!B6+Assumptions!B7</f>
        <v>5000</v>
      </c>
      <c r="F8" s="10">
        <v>6000</v>
      </c>
      <c r="G8" s="11">
        <f t="shared" si="0"/>
        <v>34000</v>
      </c>
    </row>
    <row r="9" spans="1:7">
      <c r="A9" s="12" t="s">
        <v>56</v>
      </c>
      <c r="B9" s="13">
        <v>30</v>
      </c>
      <c r="C9" s="14">
        <f>B9*Assumptions!B5+Assumptions!B9*B9*Assumptions!B5</f>
        <v>34500</v>
      </c>
      <c r="D9" s="13">
        <v>4</v>
      </c>
      <c r="E9" s="14">
        <f>D9*Assumptions!B6+Assumptions!B7</f>
        <v>8000</v>
      </c>
      <c r="F9" s="14">
        <v>6000</v>
      </c>
      <c r="G9" s="15">
        <f t="shared" si="0"/>
        <v>48500</v>
      </c>
    </row>
    <row r="10" spans="1:7">
      <c r="A10" s="8" t="s">
        <v>57</v>
      </c>
      <c r="B10" s="9">
        <v>25</v>
      </c>
      <c r="C10" s="10">
        <f>B10*Assumptions!B5+Assumptions!B9*B10*Assumptions!B5</f>
        <v>28750</v>
      </c>
      <c r="D10" s="9">
        <v>3</v>
      </c>
      <c r="E10" s="10">
        <f>D10*Assumptions!B6+Assumptions!B7</f>
        <v>6500</v>
      </c>
      <c r="F10" s="10">
        <v>6000</v>
      </c>
      <c r="G10" s="11">
        <f t="shared" si="0"/>
        <v>41250</v>
      </c>
    </row>
    <row r="11" spans="1:7">
      <c r="A11" s="12" t="s">
        <v>58</v>
      </c>
      <c r="B11" s="13">
        <v>20</v>
      </c>
      <c r="C11" s="14">
        <f>B11*Assumptions!B5+Assumptions!B9*B11*Assumptions!B5</f>
        <v>23000</v>
      </c>
      <c r="D11" s="13">
        <v>2</v>
      </c>
      <c r="E11" s="14">
        <f>D11*Assumptions!B6+Assumptions!B7</f>
        <v>5000</v>
      </c>
      <c r="F11" s="14">
        <v>6000</v>
      </c>
      <c r="G11" s="15">
        <f t="shared" si="0"/>
        <v>34000</v>
      </c>
    </row>
    <row r="13" spans="1:7" ht="15.6">
      <c r="A13" s="12" t="s">
        <v>59</v>
      </c>
      <c r="B13" s="16">
        <f t="shared" ref="B13:G13" si="1">SUM(B6:B11)</f>
        <v>140</v>
      </c>
      <c r="C13" s="15">
        <f t="shared" si="1"/>
        <v>161000</v>
      </c>
      <c r="D13" s="16">
        <f t="shared" si="1"/>
        <v>16</v>
      </c>
      <c r="E13" s="15">
        <f t="shared" si="1"/>
        <v>36000</v>
      </c>
      <c r="F13" s="15">
        <f t="shared" si="1"/>
        <v>36000</v>
      </c>
      <c r="G13" s="17">
        <f t="shared" si="1"/>
        <v>233000</v>
      </c>
    </row>
    <row r="14" spans="1:7">
      <c r="A14" s="12" t="s">
        <v>60</v>
      </c>
      <c r="B14" s="16">
        <f>B13/6</f>
        <v>23.333333333333332</v>
      </c>
      <c r="C14" s="15">
        <f>B13/6</f>
        <v>23.333333333333332</v>
      </c>
      <c r="D14" s="15">
        <f>B13/6</f>
        <v>23.333333333333332</v>
      </c>
      <c r="E14" s="15">
        <f>B13/6</f>
        <v>23.333333333333332</v>
      </c>
      <c r="F14" s="15">
        <f>B13/6</f>
        <v>23.333333333333332</v>
      </c>
      <c r="G14" s="15">
        <f>B13/6</f>
        <v>23.333333333333332</v>
      </c>
    </row>
    <row r="16" spans="1:7" ht="15.6">
      <c r="A16" s="26" t="s">
        <v>61</v>
      </c>
      <c r="B16" s="24"/>
      <c r="C16" s="24"/>
      <c r="D16" s="24"/>
      <c r="E16" s="24"/>
      <c r="F16" s="24"/>
      <c r="G16" s="24"/>
    </row>
    <row r="17" spans="1:7">
      <c r="A17" s="2" t="s">
        <v>62</v>
      </c>
      <c r="B17" s="15">
        <f>Assumptions!B25*6</f>
        <v>0</v>
      </c>
    </row>
    <row r="18" spans="1:7">
      <c r="A18" s="18" t="s">
        <v>63</v>
      </c>
      <c r="B18" s="14">
        <f>C13*0.3</f>
        <v>48300</v>
      </c>
    </row>
    <row r="19" spans="1:7" ht="15.6">
      <c r="A19" s="2" t="s">
        <v>64</v>
      </c>
      <c r="B19" s="19">
        <f>G13-B17-B18</f>
        <v>184700</v>
      </c>
    </row>
    <row r="20" spans="1:7" ht="15.6">
      <c r="A20" s="2" t="s">
        <v>65</v>
      </c>
      <c r="B20" s="20">
        <f>IF(G13&gt;0,B19/G13,0)</f>
        <v>0.79270386266094417</v>
      </c>
    </row>
    <row r="22" spans="1:7" ht="15.6">
      <c r="A22" s="26" t="s">
        <v>66</v>
      </c>
      <c r="B22" s="24"/>
      <c r="C22" s="24"/>
      <c r="D22" s="24"/>
      <c r="E22" s="24"/>
      <c r="F22" s="24"/>
      <c r="G22" s="24"/>
    </row>
    <row r="23" spans="1:7">
      <c r="A23" s="27" t="s">
        <v>40</v>
      </c>
      <c r="B23" s="27" t="s">
        <v>67</v>
      </c>
      <c r="C23" s="27" t="s">
        <v>68</v>
      </c>
      <c r="D23" s="27" t="s">
        <v>69</v>
      </c>
      <c r="E23" s="27" t="s">
        <v>70</v>
      </c>
      <c r="F23" s="27" t="s">
        <v>71</v>
      </c>
      <c r="G23" s="27"/>
    </row>
    <row r="24" spans="1:7">
      <c r="A24" s="8" t="s">
        <v>53</v>
      </c>
      <c r="B24" s="10">
        <f t="shared" ref="B24:B29" si="2">G6</f>
        <v>34000</v>
      </c>
      <c r="C24" s="10">
        <f>Assumptions!B25/6</f>
        <v>0</v>
      </c>
      <c r="D24" s="10">
        <f t="shared" ref="D24:D29" si="3">B24*0.3</f>
        <v>10200</v>
      </c>
      <c r="E24" s="11">
        <f t="shared" ref="E24:E29" si="4">B24-C24-D24</f>
        <v>23800</v>
      </c>
      <c r="F24" s="11">
        <f>E24</f>
        <v>23800</v>
      </c>
    </row>
    <row r="25" spans="1:7">
      <c r="A25" s="12" t="s">
        <v>54</v>
      </c>
      <c r="B25" s="14">
        <f t="shared" si="2"/>
        <v>41250</v>
      </c>
      <c r="C25" s="14">
        <f>Assumptions!B25/6</f>
        <v>0</v>
      </c>
      <c r="D25" s="14">
        <f t="shared" si="3"/>
        <v>12375</v>
      </c>
      <c r="E25" s="15">
        <f t="shared" si="4"/>
        <v>28875</v>
      </c>
      <c r="F25" s="15">
        <f>F24+E25</f>
        <v>52675</v>
      </c>
    </row>
    <row r="26" spans="1:7">
      <c r="A26" s="8" t="s">
        <v>55</v>
      </c>
      <c r="B26" s="10">
        <f t="shared" si="2"/>
        <v>34000</v>
      </c>
      <c r="C26" s="10">
        <f>Assumptions!B25/6</f>
        <v>0</v>
      </c>
      <c r="D26" s="10">
        <f t="shared" si="3"/>
        <v>10200</v>
      </c>
      <c r="E26" s="11">
        <f t="shared" si="4"/>
        <v>23800</v>
      </c>
      <c r="F26" s="11">
        <f>F25+E26</f>
        <v>76475</v>
      </c>
    </row>
    <row r="27" spans="1:7">
      <c r="A27" s="12" t="s">
        <v>56</v>
      </c>
      <c r="B27" s="14">
        <f t="shared" si="2"/>
        <v>48500</v>
      </c>
      <c r="C27" s="14">
        <f>Assumptions!B25/6</f>
        <v>0</v>
      </c>
      <c r="D27" s="14">
        <f t="shared" si="3"/>
        <v>14550</v>
      </c>
      <c r="E27" s="15">
        <f t="shared" si="4"/>
        <v>33950</v>
      </c>
      <c r="F27" s="15">
        <f>F26+E27</f>
        <v>110425</v>
      </c>
    </row>
    <row r="28" spans="1:7">
      <c r="A28" s="8" t="s">
        <v>57</v>
      </c>
      <c r="B28" s="10">
        <f t="shared" si="2"/>
        <v>41250</v>
      </c>
      <c r="C28" s="10">
        <f>Assumptions!B25/6</f>
        <v>0</v>
      </c>
      <c r="D28" s="10">
        <f t="shared" si="3"/>
        <v>12375</v>
      </c>
      <c r="E28" s="11">
        <f t="shared" si="4"/>
        <v>28875</v>
      </c>
      <c r="F28" s="11">
        <f>F27+E28</f>
        <v>139300</v>
      </c>
    </row>
    <row r="29" spans="1:7">
      <c r="A29" s="12" t="s">
        <v>58</v>
      </c>
      <c r="B29" s="14">
        <f t="shared" si="2"/>
        <v>34000</v>
      </c>
      <c r="C29" s="14">
        <f>Assumptions!B25/6</f>
        <v>0</v>
      </c>
      <c r="D29" s="14">
        <f t="shared" si="3"/>
        <v>10200</v>
      </c>
      <c r="E29" s="15">
        <f t="shared" si="4"/>
        <v>23800</v>
      </c>
      <c r="F29" s="15">
        <f>F28+E29</f>
        <v>163100</v>
      </c>
    </row>
  </sheetData>
  <mergeCells count="4">
    <mergeCell ref="A16:G16"/>
    <mergeCell ref="A2:G2"/>
    <mergeCell ref="A22:G22"/>
    <mergeCell ref="A1:G1"/>
  </mergeCells>
  <conditionalFormatting sqref="B20">
    <cfRule type="cellIs" dxfId="5" priority="1" operator="greaterThan">
      <formula>0.2</formula>
    </cfRule>
    <cfRule type="cellIs" dxfId="4" priority="2" operator="less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F00"/>
  </sheetPr>
  <dimension ref="A1:G29"/>
  <sheetViews>
    <sheetView workbookViewId="0">
      <pane ySplit="5" topLeftCell="A6" activePane="bottomLeft" state="frozen"/>
      <selection pane="bottomLeft" sqref="A1:G1"/>
    </sheetView>
  </sheetViews>
  <sheetFormatPr defaultRowHeight="14.4"/>
  <cols>
    <col min="1" max="1" width="12" customWidth="1"/>
    <col min="2" max="2" width="22" customWidth="1"/>
    <col min="3" max="3" width="18" customWidth="1"/>
    <col min="4" max="4" width="24" customWidth="1"/>
    <col min="5" max="6" width="22" customWidth="1"/>
    <col min="7" max="7" width="12" customWidth="1"/>
  </cols>
  <sheetData>
    <row r="1" spans="1:7" ht="18">
      <c r="A1" s="23" t="s">
        <v>72</v>
      </c>
      <c r="B1" s="24"/>
      <c r="C1" s="24"/>
      <c r="D1" s="24"/>
      <c r="E1" s="24"/>
      <c r="F1" s="24"/>
      <c r="G1" s="24"/>
    </row>
    <row r="2" spans="1:7">
      <c r="A2" s="25" t="s">
        <v>39</v>
      </c>
      <c r="B2" s="24"/>
      <c r="C2" s="24"/>
      <c r="D2" s="24"/>
      <c r="E2" s="24"/>
      <c r="F2" s="24"/>
      <c r="G2" s="24"/>
    </row>
    <row r="4" spans="1:7" ht="43.2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</row>
    <row r="5" spans="1:7" ht="28.8">
      <c r="A5" s="1"/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</row>
    <row r="6" spans="1:7">
      <c r="A6" s="8" t="s">
        <v>53</v>
      </c>
      <c r="B6" s="9">
        <v>30</v>
      </c>
      <c r="C6" s="10">
        <f>B6*Assumptions!B5+Assumptions!B9*B6*Assumptions!B5</f>
        <v>34500</v>
      </c>
      <c r="D6" s="9">
        <v>3</v>
      </c>
      <c r="E6" s="10">
        <f>D6*Assumptions!B6+Assumptions!B7</f>
        <v>6500</v>
      </c>
      <c r="F6" s="10">
        <v>16000</v>
      </c>
      <c r="G6" s="11">
        <f t="shared" ref="G6:G11" si="0">C6+E6+F6</f>
        <v>57000</v>
      </c>
    </row>
    <row r="7" spans="1:7">
      <c r="A7" s="12" t="s">
        <v>54</v>
      </c>
      <c r="B7" s="13">
        <v>40</v>
      </c>
      <c r="C7" s="14">
        <f>B7*Assumptions!B5+Assumptions!B9*B7*Assumptions!B5</f>
        <v>46000</v>
      </c>
      <c r="D7" s="13">
        <v>5</v>
      </c>
      <c r="E7" s="14">
        <f>D7*Assumptions!B6+Assumptions!B7</f>
        <v>9500</v>
      </c>
      <c r="F7" s="14">
        <v>16000</v>
      </c>
      <c r="G7" s="15">
        <f t="shared" si="0"/>
        <v>71500</v>
      </c>
    </row>
    <row r="8" spans="1:7">
      <c r="A8" s="8" t="s">
        <v>55</v>
      </c>
      <c r="B8" s="9">
        <v>35</v>
      </c>
      <c r="C8" s="10">
        <f>B8*Assumptions!B5+Assumptions!B9*B8*Assumptions!B5</f>
        <v>40250</v>
      </c>
      <c r="D8" s="9">
        <v>3</v>
      </c>
      <c r="E8" s="10">
        <f>D8*Assumptions!B6+Assumptions!B7</f>
        <v>6500</v>
      </c>
      <c r="F8" s="10">
        <v>16000</v>
      </c>
      <c r="G8" s="11">
        <f t="shared" si="0"/>
        <v>62750</v>
      </c>
    </row>
    <row r="9" spans="1:7">
      <c r="A9" s="12" t="s">
        <v>56</v>
      </c>
      <c r="B9" s="13">
        <v>45</v>
      </c>
      <c r="C9" s="14">
        <f>B9*Assumptions!B5+Assumptions!B9*B9*Assumptions!B5</f>
        <v>51750</v>
      </c>
      <c r="D9" s="13">
        <v>6</v>
      </c>
      <c r="E9" s="14">
        <f>D9*Assumptions!B6+Assumptions!B7</f>
        <v>11000</v>
      </c>
      <c r="F9" s="14">
        <v>16000</v>
      </c>
      <c r="G9" s="15">
        <f t="shared" si="0"/>
        <v>78750</v>
      </c>
    </row>
    <row r="10" spans="1:7">
      <c r="A10" s="8" t="s">
        <v>57</v>
      </c>
      <c r="B10" s="9">
        <v>40</v>
      </c>
      <c r="C10" s="10">
        <f>B10*Assumptions!B5+Assumptions!B9*B10*Assumptions!B5</f>
        <v>46000</v>
      </c>
      <c r="D10" s="9">
        <v>4</v>
      </c>
      <c r="E10" s="10">
        <f>D10*Assumptions!B6+Assumptions!B7</f>
        <v>8000</v>
      </c>
      <c r="F10" s="10">
        <v>16000</v>
      </c>
      <c r="G10" s="11">
        <f t="shared" si="0"/>
        <v>70000</v>
      </c>
    </row>
    <row r="11" spans="1:7">
      <c r="A11" s="12" t="s">
        <v>58</v>
      </c>
      <c r="B11" s="13">
        <v>35</v>
      </c>
      <c r="C11" s="14">
        <f>B11*Assumptions!B5+Assumptions!B9*B11*Assumptions!B5</f>
        <v>40250</v>
      </c>
      <c r="D11" s="13">
        <v>3</v>
      </c>
      <c r="E11" s="14">
        <f>D11*Assumptions!B6+Assumptions!B7</f>
        <v>6500</v>
      </c>
      <c r="F11" s="14">
        <v>16000</v>
      </c>
      <c r="G11" s="15">
        <f t="shared" si="0"/>
        <v>62750</v>
      </c>
    </row>
    <row r="13" spans="1:7" ht="15.6">
      <c r="A13" s="12" t="s">
        <v>59</v>
      </c>
      <c r="B13" s="16">
        <f t="shared" ref="B13:G13" si="1">SUM(B6:B11)</f>
        <v>225</v>
      </c>
      <c r="C13" s="15">
        <f t="shared" si="1"/>
        <v>258750</v>
      </c>
      <c r="D13" s="16">
        <f t="shared" si="1"/>
        <v>24</v>
      </c>
      <c r="E13" s="15">
        <f t="shared" si="1"/>
        <v>48000</v>
      </c>
      <c r="F13" s="15">
        <f t="shared" si="1"/>
        <v>96000</v>
      </c>
      <c r="G13" s="17">
        <f t="shared" si="1"/>
        <v>402750</v>
      </c>
    </row>
    <row r="14" spans="1:7">
      <c r="A14" s="12" t="s">
        <v>60</v>
      </c>
      <c r="B14" s="16">
        <f>B13/6</f>
        <v>37.5</v>
      </c>
      <c r="C14" s="15">
        <f>B13/6</f>
        <v>37.5</v>
      </c>
      <c r="D14" s="15">
        <f>B13/6</f>
        <v>37.5</v>
      </c>
      <c r="E14" s="15">
        <f>B13/6</f>
        <v>37.5</v>
      </c>
      <c r="F14" s="15">
        <f>B13/6</f>
        <v>37.5</v>
      </c>
      <c r="G14" s="15">
        <f>B13/6</f>
        <v>37.5</v>
      </c>
    </row>
    <row r="16" spans="1:7" ht="15.6">
      <c r="A16" s="26" t="s">
        <v>61</v>
      </c>
      <c r="B16" s="24"/>
      <c r="C16" s="24"/>
      <c r="D16" s="24"/>
      <c r="E16" s="24"/>
      <c r="F16" s="24"/>
      <c r="G16" s="24"/>
    </row>
    <row r="17" spans="1:7">
      <c r="A17" s="2" t="s">
        <v>62</v>
      </c>
      <c r="B17" s="15">
        <f>Assumptions!B25*6</f>
        <v>0</v>
      </c>
    </row>
    <row r="18" spans="1:7">
      <c r="A18" s="18" t="s">
        <v>63</v>
      </c>
      <c r="B18" s="14">
        <f>C13*0.3</f>
        <v>77625</v>
      </c>
    </row>
    <row r="19" spans="1:7" ht="15.6">
      <c r="A19" s="2" t="s">
        <v>64</v>
      </c>
      <c r="B19" s="19">
        <f>G13-B17-B18</f>
        <v>325125</v>
      </c>
    </row>
    <row r="20" spans="1:7" ht="15.6">
      <c r="A20" s="2" t="s">
        <v>65</v>
      </c>
      <c r="B20" s="20">
        <f>IF(G13&gt;0,B19/G13,0)</f>
        <v>0.80726256983240219</v>
      </c>
    </row>
    <row r="22" spans="1:7" ht="15.6">
      <c r="A22" s="26" t="s">
        <v>66</v>
      </c>
      <c r="B22" s="24"/>
      <c r="C22" s="24"/>
      <c r="D22" s="24"/>
      <c r="E22" s="24"/>
      <c r="F22" s="24"/>
      <c r="G22" s="24"/>
    </row>
    <row r="23" spans="1:7">
      <c r="A23" s="1" t="s">
        <v>40</v>
      </c>
      <c r="B23" s="1" t="s">
        <v>67</v>
      </c>
      <c r="C23" s="1" t="s">
        <v>68</v>
      </c>
      <c r="D23" s="1" t="s">
        <v>69</v>
      </c>
      <c r="E23" s="1" t="s">
        <v>70</v>
      </c>
      <c r="F23" s="1" t="s">
        <v>71</v>
      </c>
      <c r="G23" s="1"/>
    </row>
    <row r="24" spans="1:7">
      <c r="A24" s="8" t="s">
        <v>53</v>
      </c>
      <c r="B24" s="10">
        <f t="shared" ref="B24:B29" si="2">G6</f>
        <v>57000</v>
      </c>
      <c r="C24" s="10">
        <f>Assumptions!B25/6</f>
        <v>0</v>
      </c>
      <c r="D24" s="10">
        <f t="shared" ref="D24:D29" si="3">B24*0.3</f>
        <v>17100</v>
      </c>
      <c r="E24" s="11">
        <f t="shared" ref="E24:E29" si="4">B24-C24-D24</f>
        <v>39900</v>
      </c>
      <c r="F24" s="11">
        <f>E24</f>
        <v>39900</v>
      </c>
    </row>
    <row r="25" spans="1:7">
      <c r="A25" s="12" t="s">
        <v>54</v>
      </c>
      <c r="B25" s="14">
        <f t="shared" si="2"/>
        <v>71500</v>
      </c>
      <c r="C25" s="14">
        <f>Assumptions!B25/6</f>
        <v>0</v>
      </c>
      <c r="D25" s="14">
        <f t="shared" si="3"/>
        <v>21450</v>
      </c>
      <c r="E25" s="15">
        <f t="shared" si="4"/>
        <v>50050</v>
      </c>
      <c r="F25" s="15">
        <f>F24+E25</f>
        <v>89950</v>
      </c>
    </row>
    <row r="26" spans="1:7">
      <c r="A26" s="8" t="s">
        <v>55</v>
      </c>
      <c r="B26" s="10">
        <f t="shared" si="2"/>
        <v>62750</v>
      </c>
      <c r="C26" s="10">
        <f>Assumptions!B25/6</f>
        <v>0</v>
      </c>
      <c r="D26" s="10">
        <f t="shared" si="3"/>
        <v>18825</v>
      </c>
      <c r="E26" s="11">
        <f t="shared" si="4"/>
        <v>43925</v>
      </c>
      <c r="F26" s="11">
        <f>F25+E26</f>
        <v>133875</v>
      </c>
    </row>
    <row r="27" spans="1:7">
      <c r="A27" s="12" t="s">
        <v>56</v>
      </c>
      <c r="B27" s="14">
        <f t="shared" si="2"/>
        <v>78750</v>
      </c>
      <c r="C27" s="14">
        <f>Assumptions!B25/6</f>
        <v>0</v>
      </c>
      <c r="D27" s="14">
        <f t="shared" si="3"/>
        <v>23625</v>
      </c>
      <c r="E27" s="15">
        <f t="shared" si="4"/>
        <v>55125</v>
      </c>
      <c r="F27" s="15">
        <f>F26+E27</f>
        <v>189000</v>
      </c>
    </row>
    <row r="28" spans="1:7">
      <c r="A28" s="8" t="s">
        <v>57</v>
      </c>
      <c r="B28" s="10">
        <f t="shared" si="2"/>
        <v>70000</v>
      </c>
      <c r="C28" s="10">
        <f>Assumptions!B25/6</f>
        <v>0</v>
      </c>
      <c r="D28" s="10">
        <f t="shared" si="3"/>
        <v>21000</v>
      </c>
      <c r="E28" s="11">
        <f t="shared" si="4"/>
        <v>49000</v>
      </c>
      <c r="F28" s="11">
        <f>F27+E28</f>
        <v>238000</v>
      </c>
    </row>
    <row r="29" spans="1:7">
      <c r="A29" s="12" t="s">
        <v>58</v>
      </c>
      <c r="B29" s="14">
        <f t="shared" si="2"/>
        <v>62750</v>
      </c>
      <c r="C29" s="14">
        <f>Assumptions!B25/6</f>
        <v>0</v>
      </c>
      <c r="D29" s="14">
        <f t="shared" si="3"/>
        <v>18825</v>
      </c>
      <c r="E29" s="15">
        <f t="shared" si="4"/>
        <v>43925</v>
      </c>
      <c r="F29" s="15">
        <f>F28+E29</f>
        <v>281925</v>
      </c>
    </row>
  </sheetData>
  <mergeCells count="4">
    <mergeCell ref="A16:G16"/>
    <mergeCell ref="A2:G2"/>
    <mergeCell ref="A22:G22"/>
    <mergeCell ref="A1:G1"/>
  </mergeCells>
  <conditionalFormatting sqref="B20">
    <cfRule type="cellIs" dxfId="3" priority="1" operator="greaterThan">
      <formula>0.2</formula>
    </cfRule>
    <cfRule type="cellIs" dxfId="2" priority="2" operator="less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F00"/>
  </sheetPr>
  <dimension ref="A1:G29"/>
  <sheetViews>
    <sheetView workbookViewId="0">
      <pane ySplit="5" topLeftCell="A6" activePane="bottomLeft" state="frozen"/>
      <selection pane="bottomLeft" sqref="A1:G1"/>
    </sheetView>
  </sheetViews>
  <sheetFormatPr defaultRowHeight="14.4"/>
  <cols>
    <col min="1" max="1" width="12" customWidth="1"/>
    <col min="2" max="2" width="22" customWidth="1"/>
    <col min="3" max="3" width="18" customWidth="1"/>
    <col min="4" max="4" width="24" customWidth="1"/>
    <col min="5" max="6" width="22" customWidth="1"/>
    <col min="7" max="7" width="12" customWidth="1"/>
  </cols>
  <sheetData>
    <row r="1" spans="1:7" ht="18">
      <c r="A1" s="23" t="s">
        <v>73</v>
      </c>
      <c r="B1" s="24"/>
      <c r="C1" s="24"/>
      <c r="D1" s="24"/>
      <c r="E1" s="24"/>
      <c r="F1" s="24"/>
      <c r="G1" s="24"/>
    </row>
    <row r="2" spans="1:7">
      <c r="A2" s="25" t="s">
        <v>39</v>
      </c>
      <c r="B2" s="24"/>
      <c r="C2" s="24"/>
      <c r="D2" s="24"/>
      <c r="E2" s="24"/>
      <c r="F2" s="24"/>
      <c r="G2" s="24"/>
    </row>
    <row r="4" spans="1:7" ht="43.2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</row>
    <row r="5" spans="1:7" ht="28.8">
      <c r="A5" s="1"/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</row>
    <row r="6" spans="1:7">
      <c r="A6" s="8" t="s">
        <v>53</v>
      </c>
      <c r="B6" s="9">
        <v>45</v>
      </c>
      <c r="C6" s="10">
        <f>B6*Assumptions!B5+Assumptions!B9*B6*Assumptions!B5</f>
        <v>51750</v>
      </c>
      <c r="D6" s="9">
        <v>5</v>
      </c>
      <c r="E6" s="10">
        <f>D6*Assumptions!B6+Assumptions!B7</f>
        <v>9500</v>
      </c>
      <c r="F6" s="10">
        <v>32000</v>
      </c>
      <c r="G6" s="11">
        <f t="shared" ref="G6:G11" si="0">C6+E6+F6</f>
        <v>93250</v>
      </c>
    </row>
    <row r="7" spans="1:7">
      <c r="A7" s="12" t="s">
        <v>54</v>
      </c>
      <c r="B7" s="13">
        <v>55</v>
      </c>
      <c r="C7" s="14">
        <f>B7*Assumptions!B5+Assumptions!B9*B7*Assumptions!B5</f>
        <v>63250</v>
      </c>
      <c r="D7" s="13">
        <v>8</v>
      </c>
      <c r="E7" s="14">
        <f>D7*Assumptions!B6+Assumptions!B7</f>
        <v>14000</v>
      </c>
      <c r="F7" s="14">
        <v>32000</v>
      </c>
      <c r="G7" s="15">
        <f t="shared" si="0"/>
        <v>109250</v>
      </c>
    </row>
    <row r="8" spans="1:7">
      <c r="A8" s="8" t="s">
        <v>55</v>
      </c>
      <c r="B8" s="9">
        <v>50</v>
      </c>
      <c r="C8" s="10">
        <f>B8*Assumptions!B5+Assumptions!B9*B8*Assumptions!B5</f>
        <v>57500</v>
      </c>
      <c r="D8" s="9">
        <v>5</v>
      </c>
      <c r="E8" s="10">
        <f>D8*Assumptions!B6+Assumptions!B7</f>
        <v>9500</v>
      </c>
      <c r="F8" s="10">
        <v>32000</v>
      </c>
      <c r="G8" s="11">
        <f t="shared" si="0"/>
        <v>99000</v>
      </c>
    </row>
    <row r="9" spans="1:7">
      <c r="A9" s="12" t="s">
        <v>56</v>
      </c>
      <c r="B9" s="13">
        <v>65</v>
      </c>
      <c r="C9" s="14">
        <f>B9*Assumptions!B5+Assumptions!B9*B9*Assumptions!B5</f>
        <v>74750</v>
      </c>
      <c r="D9" s="13">
        <v>10</v>
      </c>
      <c r="E9" s="14">
        <f>D9*Assumptions!B6+Assumptions!B7</f>
        <v>17000</v>
      </c>
      <c r="F9" s="14">
        <v>32000</v>
      </c>
      <c r="G9" s="15">
        <f t="shared" si="0"/>
        <v>123750</v>
      </c>
    </row>
    <row r="10" spans="1:7">
      <c r="A10" s="8" t="s">
        <v>57</v>
      </c>
      <c r="B10" s="9">
        <v>60</v>
      </c>
      <c r="C10" s="10">
        <f>B10*Assumptions!B5+Assumptions!B9*B10*Assumptions!B5</f>
        <v>69000</v>
      </c>
      <c r="D10" s="9">
        <v>6</v>
      </c>
      <c r="E10" s="10">
        <f>D10*Assumptions!B6+Assumptions!B7</f>
        <v>11000</v>
      </c>
      <c r="F10" s="10">
        <v>32000</v>
      </c>
      <c r="G10" s="11">
        <f t="shared" si="0"/>
        <v>112000</v>
      </c>
    </row>
    <row r="11" spans="1:7">
      <c r="A11" s="12" t="s">
        <v>58</v>
      </c>
      <c r="B11" s="13">
        <v>50</v>
      </c>
      <c r="C11" s="14">
        <f>B11*Assumptions!B5+Assumptions!B9*B11*Assumptions!B5</f>
        <v>57500</v>
      </c>
      <c r="D11" s="13">
        <v>5</v>
      </c>
      <c r="E11" s="14">
        <f>D11*Assumptions!B6+Assumptions!B7</f>
        <v>9500</v>
      </c>
      <c r="F11" s="14">
        <v>32000</v>
      </c>
      <c r="G11" s="15">
        <f t="shared" si="0"/>
        <v>99000</v>
      </c>
    </row>
    <row r="13" spans="1:7" ht="15.6">
      <c r="A13" s="12" t="s">
        <v>59</v>
      </c>
      <c r="B13" s="16">
        <f t="shared" ref="B13:G13" si="1">SUM(B6:B11)</f>
        <v>325</v>
      </c>
      <c r="C13" s="15">
        <f t="shared" si="1"/>
        <v>373750</v>
      </c>
      <c r="D13" s="16">
        <f t="shared" si="1"/>
        <v>39</v>
      </c>
      <c r="E13" s="15">
        <f t="shared" si="1"/>
        <v>70500</v>
      </c>
      <c r="F13" s="15">
        <f t="shared" si="1"/>
        <v>192000</v>
      </c>
      <c r="G13" s="17">
        <f t="shared" si="1"/>
        <v>636250</v>
      </c>
    </row>
    <row r="14" spans="1:7">
      <c r="A14" s="12" t="s">
        <v>60</v>
      </c>
      <c r="B14" s="16">
        <f>B13/6</f>
        <v>54.166666666666664</v>
      </c>
      <c r="C14" s="15">
        <f>B13/6</f>
        <v>54.166666666666664</v>
      </c>
      <c r="D14" s="15">
        <f>B13/6</f>
        <v>54.166666666666664</v>
      </c>
      <c r="E14" s="15">
        <f>B13/6</f>
        <v>54.166666666666664</v>
      </c>
      <c r="F14" s="15">
        <f>B13/6</f>
        <v>54.166666666666664</v>
      </c>
      <c r="G14" s="15">
        <f>B13/6</f>
        <v>54.166666666666664</v>
      </c>
    </row>
    <row r="16" spans="1:7" ht="15.6">
      <c r="A16" s="26" t="s">
        <v>61</v>
      </c>
      <c r="B16" s="24"/>
      <c r="C16" s="24"/>
      <c r="D16" s="24"/>
      <c r="E16" s="24"/>
      <c r="F16" s="24"/>
      <c r="G16" s="24"/>
    </row>
    <row r="17" spans="1:7">
      <c r="A17" s="2" t="s">
        <v>62</v>
      </c>
      <c r="B17" s="15">
        <f>Assumptions!B25*6</f>
        <v>0</v>
      </c>
    </row>
    <row r="18" spans="1:7">
      <c r="A18" s="18" t="s">
        <v>63</v>
      </c>
      <c r="B18" s="14">
        <f>C13*0.3</f>
        <v>112125</v>
      </c>
    </row>
    <row r="19" spans="1:7" ht="15.6">
      <c r="A19" s="2" t="s">
        <v>64</v>
      </c>
      <c r="B19" s="19">
        <f>G13-B17-B18</f>
        <v>524125</v>
      </c>
    </row>
    <row r="20" spans="1:7" ht="15.6">
      <c r="A20" s="2" t="s">
        <v>65</v>
      </c>
      <c r="B20" s="20">
        <f>IF(G13&gt;0,B19/G13,0)</f>
        <v>0.82377210216110019</v>
      </c>
    </row>
    <row r="22" spans="1:7" ht="15.6">
      <c r="A22" s="26" t="s">
        <v>66</v>
      </c>
      <c r="B22" s="24"/>
      <c r="C22" s="24"/>
      <c r="D22" s="24"/>
      <c r="E22" s="24"/>
      <c r="F22" s="24"/>
      <c r="G22" s="24"/>
    </row>
    <row r="23" spans="1:7">
      <c r="A23" s="1" t="s">
        <v>40</v>
      </c>
      <c r="B23" s="1" t="s">
        <v>67</v>
      </c>
      <c r="C23" s="1" t="s">
        <v>68</v>
      </c>
      <c r="D23" s="1" t="s">
        <v>69</v>
      </c>
      <c r="E23" s="1" t="s">
        <v>70</v>
      </c>
      <c r="F23" s="1" t="s">
        <v>71</v>
      </c>
      <c r="G23" s="1"/>
    </row>
    <row r="24" spans="1:7">
      <c r="A24" s="8" t="s">
        <v>53</v>
      </c>
      <c r="B24" s="10">
        <f t="shared" ref="B24:B29" si="2">G6</f>
        <v>93250</v>
      </c>
      <c r="C24" s="10">
        <f>Assumptions!B25/6</f>
        <v>0</v>
      </c>
      <c r="D24" s="10">
        <f t="shared" ref="D24:D29" si="3">B24*0.3</f>
        <v>27975</v>
      </c>
      <c r="E24" s="11">
        <f t="shared" ref="E24:E29" si="4">B24-C24-D24</f>
        <v>65275</v>
      </c>
      <c r="F24" s="11">
        <f>E24</f>
        <v>65275</v>
      </c>
    </row>
    <row r="25" spans="1:7">
      <c r="A25" s="12" t="s">
        <v>54</v>
      </c>
      <c r="B25" s="14">
        <f t="shared" si="2"/>
        <v>109250</v>
      </c>
      <c r="C25" s="14">
        <f>Assumptions!B25/6</f>
        <v>0</v>
      </c>
      <c r="D25" s="14">
        <f t="shared" si="3"/>
        <v>32775</v>
      </c>
      <c r="E25" s="15">
        <f t="shared" si="4"/>
        <v>76475</v>
      </c>
      <c r="F25" s="15">
        <f>F24+E25</f>
        <v>141750</v>
      </c>
    </row>
    <row r="26" spans="1:7">
      <c r="A26" s="8" t="s">
        <v>55</v>
      </c>
      <c r="B26" s="10">
        <f t="shared" si="2"/>
        <v>99000</v>
      </c>
      <c r="C26" s="10">
        <f>Assumptions!B25/6</f>
        <v>0</v>
      </c>
      <c r="D26" s="10">
        <f t="shared" si="3"/>
        <v>29700</v>
      </c>
      <c r="E26" s="11">
        <f t="shared" si="4"/>
        <v>69300</v>
      </c>
      <c r="F26" s="11">
        <f>F25+E26</f>
        <v>211050</v>
      </c>
    </row>
    <row r="27" spans="1:7">
      <c r="A27" s="12" t="s">
        <v>56</v>
      </c>
      <c r="B27" s="14">
        <f t="shared" si="2"/>
        <v>123750</v>
      </c>
      <c r="C27" s="14">
        <f>Assumptions!B25/6</f>
        <v>0</v>
      </c>
      <c r="D27" s="14">
        <f t="shared" si="3"/>
        <v>37125</v>
      </c>
      <c r="E27" s="15">
        <f t="shared" si="4"/>
        <v>86625</v>
      </c>
      <c r="F27" s="15">
        <f>F26+E27</f>
        <v>297675</v>
      </c>
    </row>
    <row r="28" spans="1:7">
      <c r="A28" s="8" t="s">
        <v>57</v>
      </c>
      <c r="B28" s="10">
        <f t="shared" si="2"/>
        <v>112000</v>
      </c>
      <c r="C28" s="10">
        <f>Assumptions!B25/6</f>
        <v>0</v>
      </c>
      <c r="D28" s="10">
        <f t="shared" si="3"/>
        <v>33600</v>
      </c>
      <c r="E28" s="11">
        <f t="shared" si="4"/>
        <v>78400</v>
      </c>
      <c r="F28" s="11">
        <f>F27+E28</f>
        <v>376075</v>
      </c>
    </row>
    <row r="29" spans="1:7">
      <c r="A29" s="12" t="s">
        <v>58</v>
      </c>
      <c r="B29" s="14">
        <f t="shared" si="2"/>
        <v>99000</v>
      </c>
      <c r="C29" s="14">
        <f>Assumptions!B25/6</f>
        <v>0</v>
      </c>
      <c r="D29" s="14">
        <f t="shared" si="3"/>
        <v>29700</v>
      </c>
      <c r="E29" s="15">
        <f t="shared" si="4"/>
        <v>69300</v>
      </c>
      <c r="F29" s="15">
        <f>F28+E29</f>
        <v>445375</v>
      </c>
    </row>
  </sheetData>
  <mergeCells count="4">
    <mergeCell ref="A16:G16"/>
    <mergeCell ref="A2:G2"/>
    <mergeCell ref="A22:G22"/>
    <mergeCell ref="A1:G1"/>
  </mergeCells>
  <conditionalFormatting sqref="B20">
    <cfRule type="cellIs" dxfId="1" priority="1" operator="greaterThan">
      <formula>0.2</formula>
    </cfRule>
    <cfRule type="cellIs" dxfId="0" priority="2" operator="lessThan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F00"/>
  </sheetPr>
  <dimension ref="A1:E19"/>
  <sheetViews>
    <sheetView workbookViewId="0">
      <pane ySplit="3" topLeftCell="A4" activePane="bottomLeft" state="frozen"/>
      <selection pane="bottomLeft" sqref="A1:E1"/>
    </sheetView>
  </sheetViews>
  <sheetFormatPr defaultRowHeight="14.4"/>
  <cols>
    <col min="1" max="1" width="35" customWidth="1"/>
    <col min="2" max="4" width="20" customWidth="1"/>
    <col min="5" max="5" width="35" customWidth="1"/>
  </cols>
  <sheetData>
    <row r="1" spans="1:5" ht="18">
      <c r="A1" s="23" t="s">
        <v>74</v>
      </c>
      <c r="B1" s="24"/>
      <c r="C1" s="24"/>
      <c r="D1" s="24"/>
      <c r="E1" s="24"/>
    </row>
    <row r="3" spans="1:5">
      <c r="A3" s="1" t="s">
        <v>75</v>
      </c>
      <c r="B3" s="1" t="s">
        <v>76</v>
      </c>
      <c r="C3" s="1" t="s">
        <v>77</v>
      </c>
      <c r="D3" s="1" t="s">
        <v>78</v>
      </c>
      <c r="E3" s="1" t="s">
        <v>5</v>
      </c>
    </row>
    <row r="4" spans="1:5">
      <c r="A4" s="2" t="s">
        <v>79</v>
      </c>
      <c r="B4" s="15">
        <f>Conservative!G13</f>
        <v>233000</v>
      </c>
      <c r="C4" s="15">
        <f>Moderate!G13</f>
        <v>402750</v>
      </c>
      <c r="D4" s="15">
        <f>Optimistic!G13</f>
        <v>636250</v>
      </c>
      <c r="E4" s="5" t="s">
        <v>80</v>
      </c>
    </row>
    <row r="5" spans="1:5">
      <c r="A5" s="2" t="s">
        <v>81</v>
      </c>
      <c r="B5" s="15">
        <f>Conservative!B17</f>
        <v>0</v>
      </c>
      <c r="C5" s="15">
        <f>Moderate!B17</f>
        <v>0</v>
      </c>
      <c r="D5" s="15">
        <f>Optimistic!B17</f>
        <v>0</v>
      </c>
      <c r="E5" s="5" t="s">
        <v>82</v>
      </c>
    </row>
    <row r="6" spans="1:5">
      <c r="A6" s="2" t="s">
        <v>83</v>
      </c>
      <c r="B6" s="15">
        <f>Conservative!B18</f>
        <v>48300</v>
      </c>
      <c r="C6" s="15">
        <f>Moderate!B18</f>
        <v>77625</v>
      </c>
      <c r="D6" s="15">
        <f>Optimistic!B18</f>
        <v>112125</v>
      </c>
      <c r="E6" s="5" t="s">
        <v>84</v>
      </c>
    </row>
    <row r="7" spans="1:5">
      <c r="A7" s="2" t="s">
        <v>64</v>
      </c>
      <c r="B7" s="15">
        <f>Conservative!B19</f>
        <v>184700</v>
      </c>
      <c r="C7" s="15">
        <f>Moderate!B19</f>
        <v>325125</v>
      </c>
      <c r="D7" s="15">
        <f>Optimistic!B19</f>
        <v>524125</v>
      </c>
      <c r="E7" s="5" t="s">
        <v>85</v>
      </c>
    </row>
    <row r="8" spans="1:5">
      <c r="A8" s="2" t="s">
        <v>65</v>
      </c>
      <c r="B8" s="21">
        <f>Conservative!B20</f>
        <v>0.79270386266094417</v>
      </c>
      <c r="C8" s="21">
        <f>Moderate!B20</f>
        <v>0.80726256983240219</v>
      </c>
      <c r="D8" s="21">
        <f>Optimistic!B20</f>
        <v>0.82377210216110019</v>
      </c>
      <c r="E8" s="5" t="s">
        <v>86</v>
      </c>
    </row>
    <row r="9" spans="1:5">
      <c r="A9" s="2" t="s">
        <v>87</v>
      </c>
      <c r="B9" s="16">
        <f>Conservative!B13</f>
        <v>140</v>
      </c>
      <c r="C9" s="16">
        <f>Moderate!B13</f>
        <v>225</v>
      </c>
      <c r="D9" s="16">
        <f>Optimistic!B13</f>
        <v>325</v>
      </c>
      <c r="E9" s="5" t="s">
        <v>88</v>
      </c>
    </row>
    <row r="10" spans="1:5">
      <c r="A10" s="2" t="s">
        <v>89</v>
      </c>
      <c r="B10" s="15">
        <f>Conservative!G14</f>
        <v>23.333333333333332</v>
      </c>
      <c r="C10" s="15">
        <f>Moderate!G14</f>
        <v>37.5</v>
      </c>
      <c r="D10" s="15">
        <f>Optimistic!G14</f>
        <v>54.166666666666664</v>
      </c>
      <c r="E10" s="5" t="s">
        <v>90</v>
      </c>
    </row>
    <row r="11" spans="1:5">
      <c r="A11" s="2" t="s">
        <v>91</v>
      </c>
      <c r="B11" s="16">
        <f>Conservative!B14</f>
        <v>23.333333333333332</v>
      </c>
      <c r="C11" s="16">
        <f>Moderate!B14</f>
        <v>37.5</v>
      </c>
      <c r="D11" s="16">
        <f>Optimistic!B14</f>
        <v>54.166666666666664</v>
      </c>
      <c r="E11" s="5" t="s">
        <v>90</v>
      </c>
    </row>
    <row r="12" spans="1:5">
      <c r="A12" s="2" t="s">
        <v>92</v>
      </c>
      <c r="B12" s="16">
        <f>Assumptions!B25/Assumptions!B5</f>
        <v>0</v>
      </c>
      <c r="C12" s="16">
        <f>Assumptions!B25/Assumptions!B5</f>
        <v>0</v>
      </c>
      <c r="D12" s="16">
        <f>Assumptions!B25/Assumptions!B5</f>
        <v>0</v>
      </c>
      <c r="E12" s="5" t="s">
        <v>93</v>
      </c>
    </row>
    <row r="15" spans="1:5" ht="15.6">
      <c r="A15" s="26" t="s">
        <v>94</v>
      </c>
      <c r="B15" s="24"/>
      <c r="C15" s="24"/>
      <c r="D15" s="24"/>
      <c r="E15" s="24"/>
    </row>
    <row r="16" spans="1:5">
      <c r="A16" s="2" t="s">
        <v>95</v>
      </c>
      <c r="B16" s="22">
        <f>Assumptions!B25/Assumptions!B5</f>
        <v>0</v>
      </c>
      <c r="C16" s="5" t="s">
        <v>96</v>
      </c>
    </row>
    <row r="17" spans="1:2">
      <c r="A17" s="2" t="s">
        <v>97</v>
      </c>
      <c r="B17" s="12" t="str">
        <f>IF(Conservative!B19&gt;0,"✅ YES","❌ NO — adjust assumptions")</f>
        <v>✅ YES</v>
      </c>
    </row>
    <row r="18" spans="1:2">
      <c r="A18" s="2" t="s">
        <v>98</v>
      </c>
      <c r="B18" s="12" t="str">
        <f>IF(Moderate!B19&gt;0,"✅ YES","❌ NO — adjust assumptions")</f>
        <v>✅ YES</v>
      </c>
    </row>
    <row r="19" spans="1:2">
      <c r="A19" s="2" t="s">
        <v>99</v>
      </c>
      <c r="B19" s="12" t="str">
        <f>IF(Optimistic!B19&gt;0,"✅ YES","❌ NO — adjust assumptions")</f>
        <v>✅ YES</v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Conservative</vt:lpstr>
      <vt:lpstr>Moderate</vt:lpstr>
      <vt:lpstr>Optimistic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Khemis Akram</cp:lastModifiedBy>
  <dcterms:created xsi:type="dcterms:W3CDTF">2026-07-09T13:23:11Z</dcterms:created>
  <dcterms:modified xsi:type="dcterms:W3CDTF">2026-07-10T04:09:21Z</dcterms:modified>
</cp:coreProperties>
</file>